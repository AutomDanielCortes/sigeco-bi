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b5ae7a1df144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puestos" sheetId="1" r:id="R0e47dd5e05464742"/>
    <x:sheet xmlns:r="http://schemas.openxmlformats.org/officeDocument/2006/relationships" name="Presupuesto" sheetId="2" r:id="Raca489bce8cd4f99"/>
    <x:sheet xmlns:r="http://schemas.openxmlformats.org/officeDocument/2006/relationships" name="Cronograma" sheetId="3" r:id="R14b555ba7de4424a"/>
    <x:sheet xmlns:r="http://schemas.openxmlformats.org/officeDocument/2006/relationships" name="Riesgos" sheetId="4" r:id="R6b54516f861b4585"/>
    <x:sheet xmlns:r="http://schemas.openxmlformats.org/officeDocument/2006/relationships" name="ROI" sheetId="5" r:id="R05b682b4b12c46c1"/>
    <x:sheet xmlns:r="http://schemas.openxmlformats.org/officeDocument/2006/relationships" name="DatosDemo" sheetId="6" r:id="R343d3ddbf70f46d3"/>
    <x:sheet xmlns:r="http://schemas.openxmlformats.org/officeDocument/2006/relationships" name="Resumen" sheetId="7" r:id="R1766e292761745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 &quot;COP&quot;"/>
    <x:numFmt numFmtId="201" formatCode="0%"/>
    <x:numFmt numFmtId="202" formatCode="dd/mm/yyyy"/>
    <x:numFmt numFmtId="203" formatCode="dd"/>
    <x:numFmt numFmtId="204" formatCode="0.0%"/>
    <x:numFmt numFmtId="205" formatCode="0.0 &quot;meses&quot;"/>
  </x:numFmts>
  <x:fonts count="6">
    <x:font>
      <x:sz val="11"/>
      <x:name val="Carlito"/>
    </x:font>
    <x:font>
      <x:b/>
      <x:sz val="17"/>
      <x:color rgb="FFFFFFFF"/>
      <x:name val="Carlito"/>
    </x:font>
    <x:font>
      <x:sz val="9"/>
      <x:color rgb="FF6F8296"/>
      <x:name val="Carlito"/>
    </x:font>
    <x:font>
      <x:b/>
      <x:sz val="10"/>
      <x:color rgb="FFFFFFFF"/>
      <x:name val="Carlito"/>
    </x:font>
    <x:font>
      <x:b/>
      <x:sz val="11"/>
      <x:color rgb="FF173A5C"/>
      <x:name val="Carlito"/>
    </x:font>
    <x:font>
      <x:b/>
      <x:sz val="11"/>
      <x:color rgb="FF16654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A5C"/>
      </x:patternFill>
    </x:fill>
    <x:fill>
      <x:patternFill patternType="solid">
        <x:fgColor rgb="FFF4F7FA"/>
      </x:patternFill>
    </x:fill>
    <x:fill>
      <x:patternFill patternType="solid">
        <x:fgColor rgb="FF28577E"/>
      </x:patternFill>
    </x:fill>
    <x:fill>
      <x:patternFill patternType="solid">
        <x:fgColor rgb="FFECF2F7"/>
      </x:patternFill>
    </x:fill>
    <x:fill>
      <x:patternFill patternType="solid">
        <x:fgColor rgb="FFF0F6FB"/>
      </x:patternFill>
    </x:fill>
    <x:fill>
      <x:patternFill patternType="solid">
        <x:fgColor rgb="FFDDF2E6"/>
      </x:patternFill>
    </x:fill>
  </x:fills>
  <x:borders count="2">
    <x:border/>
    <x:border/>
  </x:borders>
  <x:cellStyleXfs count="1">
    <x:xf numFmtId="0" fontId="0" fillId="0" borderId="0"/>
  </x:cellStyleXfs>
  <x:cellXfs count="6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0" xfId="0" applyNumberFormat="1" applyFont="1" applyFill="1" applyBorder="1"/>
    <x:xf numFmtId="200" fontId="0" fillId="6" borderId="0" xfId="0" applyNumberFormat="1" applyFont="1" applyFill="1" applyBorder="1"/>
    <x:xf numFmtId="0" fontId="4" fillId="6" borderId="0" xfId="0" applyNumberFormat="1" applyFont="1" applyFill="1" applyBorder="1"/>
    <x:xf numFmtId="200" fontId="4" fillId="6" borderId="0" xfId="0" applyNumberFormat="1" applyFont="1" applyFill="1" applyBorder="1"/>
    <x:xf numFmtId="0" fontId="0" fillId="6" borderId="1" xfId="0" applyNumberFormat="1" applyFont="1" applyFill="1" applyBorder="1"/>
    <x:xf numFmtId="200" fontId="0" fillId="6" borderId="1" xfId="0" applyNumberFormat="1" applyFont="1" applyFill="1" applyBorder="1"/>
    <x:xf numFmtId="0" fontId="4" fillId="6" borderId="1" xfId="0" applyNumberFormat="1" applyFont="1" applyFill="1" applyBorder="1"/>
    <x:xf numFmtId="200" fontId="4" fillId="6" borderId="1" xfId="0" applyNumberFormat="1" applyFont="1" applyFill="1" applyBorder="1"/>
    <x:xf numFmtId="0" fontId="4" fillId="7" borderId="0" xfId="0" applyNumberFormat="1" applyFont="1" applyFill="1" applyBorder="1"/>
    <x:xf numFmtId="200" fontId="4" fillId="7" borderId="0" xfId="0" applyNumberFormat="1" applyFont="1" applyFill="1" applyBorder="1"/>
    <x:xf numFmtId="0" fontId="5" fillId="7" borderId="0" xfId="0" applyNumberFormat="1" applyFont="1" applyFill="1" applyBorder="1"/>
    <x:xf numFmtId="200" fontId="5" fillId="7" borderId="0" xfId="0" applyNumberFormat="1" applyFont="1" applyFill="1" applyBorder="1"/>
    <x:xf numFmtId="0" fontId="4" fillId="7" borderId="1" xfId="0" applyNumberFormat="1" applyFont="1" applyFill="1" applyBorder="1"/>
    <x:xf numFmtId="200" fontId="4" fillId="7" borderId="1" xfId="0" applyNumberFormat="1" applyFont="1" applyFill="1" applyBorder="1"/>
    <x:xf numFmtId="0" fontId="5" fillId="7" borderId="1" xfId="0" applyNumberFormat="1" applyFont="1" applyFill="1" applyBorder="1"/>
    <x:xf numFmtId="200" fontId="5" fillId="7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3" fontId="0" fillId="4" borderId="0" xfId="0" applyNumberFormat="1" applyFont="1" applyFill="1" applyBorder="1"/>
    <x:xf numFmtId="203" fontId="3" fillId="4" borderId="0" xfId="0" applyNumberFormat="1" applyFont="1" applyFill="1" applyBorder="1"/>
    <x:xf numFmtId="203" fontId="3" fillId="4" borderId="0" xfId="0" applyNumberFormat="1" applyFont="1" applyFill="1" applyBorder="1" applyAlignment="1">
      <x:alignment wrapText="1"/>
    </x:xf>
    <x:xf numFmtId="203" fontId="3" fillId="4" borderId="0" xfId="0" applyNumberFormat="1" applyFont="1" applyFill="1" applyBorder="1" applyAlignment="1">
      <x:alignment vertical="center" wrapText="1"/>
    </x:xf>
    <x:xf numFmtId="203" fontId="0" fillId="4" borderId="1" xfId="0" applyNumberFormat="1" applyFont="1" applyFill="1" applyBorder="1"/>
    <x:xf numFmtId="203" fontId="3" fillId="4" borderId="1" xfId="0" applyNumberFormat="1" applyFont="1" applyFill="1" applyBorder="1"/>
    <x:xf numFmtId="203" fontId="3" fillId="4" borderId="1" xfId="0" applyNumberFormat="1" applyFont="1" applyFill="1" applyBorder="1" applyAlignment="1">
      <x:alignment wrapText="1"/>
    </x:xf>
    <x:xf numFmtId="203" fontId="3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e38959f7094cd4" /><Relationship Type="http://schemas.openxmlformats.org/officeDocument/2006/relationships/theme" Target="/xl/theme/theme1.xml" Id="R00c0889c2fb04b50" /><Relationship Type="http://schemas.openxmlformats.org/officeDocument/2006/relationships/sharedStrings" Target="/xl/sharedStrings.xml" Id="R56678b9474ce40e7" /><Relationship Type="http://schemas.openxmlformats.org/officeDocument/2006/relationships/worksheet" Target="/xl/worksheets/sheet1.xml" Id="R0e47dd5e05464742" /><Relationship Type="http://schemas.openxmlformats.org/officeDocument/2006/relationships/worksheet" Target="/xl/worksheets/sheet2.xml" Id="Raca489bce8cd4f99" /><Relationship Type="http://schemas.openxmlformats.org/officeDocument/2006/relationships/worksheet" Target="/xl/worksheets/sheet3.xml" Id="R14b555ba7de4424a" /><Relationship Type="http://schemas.openxmlformats.org/officeDocument/2006/relationships/worksheet" Target="/xl/worksheets/sheet4.xml" Id="R6b54516f861b4585" /><Relationship Type="http://schemas.openxmlformats.org/officeDocument/2006/relationships/worksheet" Target="/xl/worksheets/sheet5.xml" Id="R05b682b4b12c46c1" /><Relationship Type="http://schemas.openxmlformats.org/officeDocument/2006/relationships/worksheet" Target="/xl/worksheets/sheet6.xml" Id="R343d3ddbf70f46d3" /><Relationship Type="http://schemas.openxmlformats.org/officeDocument/2006/relationships/worksheet" Target="/xl/worksheets/sheet7.xml" Id="R1766e2927617457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1fbb196f4094a3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Horas por fase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Horas</c:v>
          </c:tx>
          <c:cat>
            <c:strRef>
              <c:f>'Resumen'!$A$15:$A$17</c:f>
              <c:strCache>
                <c:ptCount val="0"/>
              </c:strCache>
            </c:strRef>
          </c:cat>
          <c:val>
            <c:numRef>
              <c:f>'Resumen'!$B$15:$B$17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3</xdr:row>
      <xdr:rowOff>0</xdr:rowOff>
    </xdr:from>
    <xdr:to>
      <xdr:col>8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1fbb196f4094a3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52eac95905ee40f6" /></Relationships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70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36" customHeight="1">
      <x:c r="A1" s="4" t="str">
        <x:v>Supuestos del modelo económico</x:v>
      </x:c>
      <x:c r="B1" s="4" t="str">
        <x:v>Supuestos del modelo económico</x:v>
      </x:c>
      <x:c r="C1" s="4" t="str">
        <x:v>Supuestos del modelo económico</x:v>
      </x:c>
      <x:c r="D1" s="4" t="str">
        <x:v>Supuestos del modelo económico</x:v>
      </x:c>
      <x:c r="E1" s="4" t="str">
        <x:v>Supuestos del modelo económico</x:v>
      </x:c>
    </x:row>
    <x:row r="2" ht="20" customHeight="1">
      <x:c r="A2" s="9" t="str">
        <x:v>SIGECO BI · Proyecto aplicado I · Daniel Stiven Cortes Pedreros · ESEIT</x:v>
      </x:c>
      <x:c r="B2" s="9"/>
      <x:c r="C2" s="9"/>
      <x:c r="D2" s="9"/>
      <x:c r="E2" s="9"/>
    </x:row>
    <x:row r="4" ht="27" customHeight="1">
      <x:c r="A4" s="15" t="str">
        <x:v>Variable</x:v>
      </x:c>
      <x:c r="B4" s="15" t="str">
        <x:v>Valor</x:v>
      </x:c>
    </x:row>
    <x:row r="5">
      <x:c r="A5" t="str">
        <x:v>Tarifa interna de referencia (COP/h)</x:v>
      </x:c>
      <x:c r="B5" s="20" t="n">
        <x:v>25000</x:v>
      </x:c>
    </x:row>
    <x:row r="6">
      <x:c r="A6" t="str">
        <x:v>Reserva de contingencia</x:v>
      </x:c>
      <x:c r="B6" s="22" t="n">
        <x:v>0.1</x:v>
      </x:c>
    </x:row>
    <x:row r="7">
      <x:c r="A7" t="str">
        <x:v>Horas mensuales antes</x:v>
      </x:c>
      <x:c r="B7" t="n">
        <x:v>12</x:v>
      </x:c>
    </x:row>
    <x:row r="8">
      <x:c r="A8" t="str">
        <x:v>Horas mensuales después</x:v>
      </x:c>
      <x:c r="B8" t="n">
        <x:v>4</x:v>
      </x:c>
    </x:row>
    <x:row r="9">
      <x:c r="A9" t="str">
        <x:v>Mantenimiento mensual (COP)</x:v>
      </x:c>
      <x:c r="B9" s="20" t="n">
        <x:v>20000</x:v>
      </x:c>
    </x:row>
    <x:row r="10">
      <x:c r="A10" t="str">
        <x:v>Meses de evaluación</x:v>
      </x:c>
      <x:c r="B10" t="n">
        <x:v>12</x:v>
      </x:c>
    </x:row>
    <x:row r="11">
      <x:c r="A11" t="str">
        <x:v>Meses horizonte extendido</x:v>
      </x:c>
      <x:c r="B11" t="n">
        <x:v>24</x:v>
      </x:c>
    </x:row>
    <x:row r="14">
      <x:c r="A14" s="25" t="str">
        <x:v>Metodología</x:v>
      </x:c>
      <x:c r="B14" t="str">
        <x:v>Datos sintéticos, hipótesis académicas</x:v>
      </x:c>
      <x:c r="C14"/>
      <x:c r="D14"/>
      <x:c r="E14"/>
    </x:row>
    <x:row r="15">
      <x:c r="A15" s="25" t="str">
        <x:v>Advertencia</x:v>
      </x:c>
      <x:c r="B15" t="str">
        <x:v>Ningún valor corresponde a gasto o ahorro real de una empresa.</x:v>
      </x:c>
      <x:c r="C15"/>
      <x:c r="D15"/>
      <x:c r="E15"/>
    </x:row>
    <x:row r="16">
      <x:c r="A16" s="25" t="str">
        <x:v>Fuente pública</x:v>
      </x:c>
      <x:c r="B16" t="str">
        <x:v>https://learn.microsoft.com/es-es/power-bi/create-reports/sample-financial-download</x:v>
      </x:c>
      <x:c r="C16"/>
      <x:c r="D16"/>
      <x:c r="E16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2" hidden="0" customWidth="1"/>
    <x:col min="2" max="2" width="41" hidden="0" customWidth="1"/>
    <x:col min="3" max="3" width="11" hidden="0" customWidth="1"/>
    <x:col min="4" max="4" width="16" hidden="0" customWidth="1"/>
    <x:col min="5" max="5" width="18" hidden="0" customWidth="1"/>
    <x:col min="6" max="6" width="15" hidden="0" customWidth="1"/>
    <x:col min="7" max="7" width="26" hidden="0" customWidth="1"/>
  </x:cols>
  <x:sheetData>
    <x:row r="1" ht="36" customHeight="1">
      <x:c r="A1" s="4" t="str">
        <x:v>Presupuesto estimado · 72 horas</x:v>
      </x:c>
      <x:c r="B1" s="4" t="str">
        <x:v>Presupuesto estimado · 72 horas</x:v>
      </x:c>
      <x:c r="C1" s="4" t="str">
        <x:v>Presupuesto estimado · 72 horas</x:v>
      </x:c>
      <x:c r="D1" s="4" t="str">
        <x:v>Presupuesto estimado · 72 horas</x:v>
      </x:c>
      <x:c r="E1" s="4" t="str">
        <x:v>Presupuesto estimado · 72 horas</x:v>
      </x:c>
      <x:c r="F1" s="4" t="str">
        <x:v>Presupuesto estimado · 72 horas</x:v>
      </x:c>
      <x:c r="G1" s="4" t="str">
        <x:v>Presupuesto estimado · 72 horas</x:v>
      </x:c>
    </x:row>
    <x:row r="2" ht="20" customHeight="1">
      <x:c r="A2" s="9" t="str">
        <x:v>SIGECO BI · Proyecto aplicado I · Daniel Stiven Cortes Pedreros · ESEIT</x:v>
      </x:c>
      <x:c r="B2" s="9"/>
      <x:c r="C2" s="9"/>
      <x:c r="D2" s="9"/>
      <x:c r="E2" s="9"/>
      <x:c r="F2" s="9"/>
      <x:c r="G2" s="9"/>
    </x:row>
    <x:row r="3" ht="27" customHeight="1">
      <x:c r="A3" s="15" t="str">
        <x:v>Código</x:v>
      </x:c>
      <x:c r="B3" s="15" t="str">
        <x:v>Actividad</x:v>
      </x:c>
      <x:c r="C3" s="15" t="str">
        <x:v>Horas</x:v>
      </x:c>
      <x:c r="D3" s="15" t="str">
        <x:v>Tarifa COP/h</x:v>
      </x:c>
      <x:c r="E3" s="15" t="str">
        <x:v>Costo estimado</x:v>
      </x:c>
      <x:c r="F3" s="15" t="str">
        <x:v>Fase</x:v>
      </x:c>
      <x:c r="G3" s="15" t="str">
        <x:v>Fechas</x:v>
      </x:c>
    </x:row>
    <x:row r="4">
      <x:c r="A4" t="str">
        <x:v>P01</x:v>
      </x:c>
      <x:c r="B4" t="str">
        <x:v>Definir alcance y criterios</x:v>
      </x:c>
      <x:c r="C4" t="n">
        <x:v>6</x:v>
      </x:c>
      <x:c r="D4" s="20" t="n">
        <x:f>Supuestos!$B$5</x:f>
        <x:v>25000</x:v>
      </x:c>
      <x:c r="E4" s="20" t="n">
        <x:f>C4*D4</x:f>
        <x:v>150000</x:v>
      </x:c>
      <x:c r="F4" t="str">
        <x:v>Planeación</x:v>
      </x:c>
      <x:c r="G4" t="str">
        <x:v>2026-10-12 a 2026-10-12</x:v>
      </x:c>
    </x:row>
    <x:row r="5">
      <x:c r="A5" t="str">
        <x:v>P02</x:v>
      </x:c>
      <x:c r="B5" t="str">
        <x:v>Construir EDT/WBS</x:v>
      </x:c>
      <x:c r="C5" t="n">
        <x:v>4</x:v>
      </x:c>
      <x:c r="D5" s="20" t="n">
        <x:f>Supuestos!$B$5</x:f>
        <x:v>25000</x:v>
      </x:c>
      <x:c r="E5" s="20" t="n">
        <x:f>C5*D5</x:f>
        <x:v>100000</x:v>
      </x:c>
      <x:c r="F5" t="str">
        <x:v>Planeación</x:v>
      </x:c>
      <x:c r="G5" t="str">
        <x:v>2026-10-13 a 2026-10-13</x:v>
      </x:c>
    </x:row>
    <x:row r="6">
      <x:c r="A6" t="str">
        <x:v>P03</x:v>
      </x:c>
      <x:c r="B6" t="str">
        <x:v>Elaborar cronograma</x:v>
      </x:c>
      <x:c r="C6" t="n">
        <x:v>4</x:v>
      </x:c>
      <x:c r="D6" s="20" t="n">
        <x:f>Supuestos!$B$5</x:f>
        <x:v>25000</x:v>
      </x:c>
      <x:c r="E6" s="20" t="n">
        <x:f>C6*D6</x:f>
        <x:v>100000</x:v>
      </x:c>
      <x:c r="F6" t="str">
        <x:v>Planeación</x:v>
      </x:c>
      <x:c r="G6" t="str">
        <x:v>2026-10-14 a 2026-10-14</x:v>
      </x:c>
    </x:row>
    <x:row r="7">
      <x:c r="A7" t="str">
        <x:v>P04</x:v>
      </x:c>
      <x:c r="B7" t="str">
        <x:v>Estimar presupuesto</x:v>
      </x:c>
      <x:c r="C7" t="n">
        <x:v>4</x:v>
      </x:c>
      <x:c r="D7" s="20" t="n">
        <x:f>Supuestos!$B$5</x:f>
        <x:v>25000</x:v>
      </x:c>
      <x:c r="E7" s="20" t="n">
        <x:f>C7*D7</x:f>
        <x:v>100000</x:v>
      </x:c>
      <x:c r="F7" t="str">
        <x:v>Planeación</x:v>
      </x:c>
      <x:c r="G7" t="str">
        <x:v>2026-10-15 a 2026-10-15</x:v>
      </x:c>
    </x:row>
    <x:row r="8">
      <x:c r="A8" t="str">
        <x:v>P05</x:v>
      </x:c>
      <x:c r="B8" t="str">
        <x:v>Analizar riesgos</x:v>
      </x:c>
      <x:c r="C8" t="n">
        <x:v>4</x:v>
      </x:c>
      <x:c r="D8" s="20" t="n">
        <x:f>Supuestos!$B$5</x:f>
        <x:v>25000</x:v>
      </x:c>
      <x:c r="E8" s="20" t="n">
        <x:f>C8*D8</x:f>
        <x:v>100000</x:v>
      </x:c>
      <x:c r="F8" t="str">
        <x:v>Planeación</x:v>
      </x:c>
      <x:c r="G8" t="str">
        <x:v>2026-10-16 a 2026-10-16</x:v>
      </x:c>
    </x:row>
    <x:row r="9">
      <x:c r="A9" t="str">
        <x:v>E01</x:v>
      </x:c>
      <x:c r="B9" t="str">
        <x:v>Preparar y perfilar datos</x:v>
      </x:c>
      <x:c r="C9" t="n">
        <x:v>10</x:v>
      </x:c>
      <x:c r="D9" s="20" t="n">
        <x:f>Supuestos!$B$5</x:f>
        <x:v>25000</x:v>
      </x:c>
      <x:c r="E9" s="20" t="n">
        <x:f>C9*D9</x:f>
        <x:v>250000</x:v>
      </x:c>
      <x:c r="F9" t="str">
        <x:v>Ejecución</x:v>
      </x:c>
      <x:c r="G9" t="str">
        <x:v>2026-10-19 a 2026-10-19</x:v>
      </x:c>
    </x:row>
    <x:row r="10">
      <x:c r="A10" t="str">
        <x:v>E02</x:v>
      </x:c>
      <x:c r="B10" t="str">
        <x:v>Definir modelo e indicadores</x:v>
      </x:c>
      <x:c r="C10" t="n">
        <x:v>9</x:v>
      </x:c>
      <x:c r="D10" s="20" t="n">
        <x:f>Supuestos!$B$5</x:f>
        <x:v>25000</x:v>
      </x:c>
      <x:c r="E10" s="20" t="n">
        <x:f>C10*D10</x:f>
        <x:v>225000</x:v>
      </x:c>
      <x:c r="F10" t="str">
        <x:v>Ejecución</x:v>
      </x:c>
      <x:c r="G10" t="str">
        <x:v>2026-10-20 a 2026-10-20</x:v>
      </x:c>
    </x:row>
    <x:row r="11">
      <x:c r="A11" t="str">
        <x:v>E03</x:v>
      </x:c>
      <x:c r="B11" t="str">
        <x:v>Construir tablero demostrativo</x:v>
      </x:c>
      <x:c r="C11" t="n">
        <x:v>13</x:v>
      </x:c>
      <x:c r="D11" s="20" t="n">
        <x:f>Supuestos!$B$5</x:f>
        <x:v>25000</x:v>
      </x:c>
      <x:c r="E11" s="20" t="n">
        <x:f>C11*D11</x:f>
        <x:v>325000</x:v>
      </x:c>
      <x:c r="F11" t="str">
        <x:v>Ejecución</x:v>
      </x:c>
      <x:c r="G11" t="str">
        <x:v>2026-10-21 a 2026-10-22</x:v>
      </x:c>
    </x:row>
    <x:row r="12">
      <x:c r="A12" t="str">
        <x:v>E04</x:v>
      </x:c>
      <x:c r="B12" t="str">
        <x:v>Verificar cálculos y navegación</x:v>
      </x:c>
      <x:c r="C12" t="n">
        <x:v>7</x:v>
      </x:c>
      <x:c r="D12" s="20" t="n">
        <x:f>Supuestos!$B$5</x:f>
        <x:v>25000</x:v>
      </x:c>
      <x:c r="E12" s="20" t="n">
        <x:f>C12*D12</x:f>
        <x:v>175000</x:v>
      </x:c>
      <x:c r="F12" t="str">
        <x:v>Ejecución</x:v>
      </x:c>
      <x:c r="G12" t="str">
        <x:v>2026-10-23 a 2026-10-23</x:v>
      </x:c>
    </x:row>
    <x:row r="13">
      <x:c r="A13" t="str">
        <x:v>E05</x:v>
      </x:c>
      <x:c r="B13" t="str">
        <x:v>Documentar comunicaciones</x:v>
      </x:c>
      <x:c r="C13" t="n">
        <x:v>4</x:v>
      </x:c>
      <x:c r="D13" s="20" t="n">
        <x:f>Supuestos!$B$5</x:f>
        <x:v>25000</x:v>
      </x:c>
      <x:c r="E13" s="20" t="n">
        <x:f>C13*D13</x:f>
        <x:v>100000</x:v>
      </x:c>
      <x:c r="F13" t="str">
        <x:v>Ejecución</x:v>
      </x:c>
      <x:c r="G13" t="str">
        <x:v>2026-10-23 a 2026-10-23</x:v>
      </x:c>
    </x:row>
    <x:row r="14">
      <x:c r="A14" t="str">
        <x:v>C01</x:v>
      </x:c>
      <x:c r="B14" t="str">
        <x:v>Integrar anexos y evidencias</x:v>
      </x:c>
      <x:c r="C14" t="n">
        <x:v>4</x:v>
      </x:c>
      <x:c r="D14" s="20" t="n">
        <x:f>Supuestos!$B$5</x:f>
        <x:v>25000</x:v>
      </x:c>
      <x:c r="E14" s="20" t="n">
        <x:f>C14*D14</x:f>
        <x:v>100000</x:v>
      </x:c>
      <x:c r="F14" t="str">
        <x:v>Cierre</x:v>
      </x:c>
      <x:c r="G14" t="str">
        <x:v>2026-10-26 a 2026-10-26</x:v>
      </x:c>
    </x:row>
    <x:row r="15">
      <x:c r="A15" t="str">
        <x:v>C02</x:v>
      </x:c>
      <x:c r="B15" t="str">
        <x:v>Revisar enlaces y cierre académico</x:v>
      </x:c>
      <x:c r="C15" t="n">
        <x:v>3</x:v>
      </x:c>
      <x:c r="D15" s="20" t="n">
        <x:f>Supuestos!$B$5</x:f>
        <x:v>25000</x:v>
      </x:c>
      <x:c r="E15" s="20" t="n">
        <x:f>C15*D15</x:f>
        <x:v>75000</x:v>
      </x:c>
      <x:c r="F15" t="str">
        <x:v>Cierre</x:v>
      </x:c>
      <x:c r="G15" t="str">
        <x:v>2026-10-26 a 2026-10-26</x:v>
      </x:c>
    </x:row>
    <x:row r="16" ht="25" customHeight="1">
      <x:c r="B16" s="30" t="str">
        <x:v>Subtotal trabajo</x:v>
      </x:c>
      <x:c r="C16" s="30"/>
      <x:c r="D16" s="31"/>
      <x:c r="E16" s="31" t="n">
        <x:f>SUM(E4:E15)</x:f>
        <x:v>1800000</x:v>
      </x:c>
    </x:row>
    <x:row r="17" ht="25" customHeight="1">
      <x:c r="B17" s="30" t="str">
        <x:v>Reserva contingencia</x:v>
      </x:c>
      <x:c r="C17" s="30"/>
      <x:c r="D17" s="31"/>
      <x:c r="E17" s="31" t="n">
        <x:f>E16*Supuestos!$B$6</x:f>
        <x:v>180000</x:v>
      </x:c>
    </x:row>
    <x:row r="18" ht="25" customHeight="1">
      <x:c r="B18" s="38" t="str">
        <x:v>Presupuesto total</x:v>
      </x:c>
      <x:c r="C18" s="38"/>
      <x:c r="D18" s="39"/>
      <x:c r="E18" s="39" t="n">
        <x:f>E16+E17</x:f>
        <x:v>1980000</x:v>
      </x:c>
    </x:row>
    <x:row r="21">
      <x:c r="A21" t="str">
        <x:v>Costo software / licencias</x:v>
      </x:c>
      <x:c r="B21" s="20" t="n">
        <x:v>0</x:v>
      </x:c>
    </x:row>
    <x:row r="22">
      <x:c r="A22" t="str">
        <x:v>Hosting estático GitHub Pages</x:v>
      </x:c>
      <x:c r="B22" s="20" t="n">
        <x:v>0</x:v>
      </x:c>
    </x:row>
    <x:row r="23">
      <x:c r="A23" t="str">
        <x:v>Nota</x:v>
      </x:c>
      <x:c r="B23" t="str">
        <x:v>Estimaciones ilustrativas, sin gastos realmente incurridos</x:v>
      </x:c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1" hidden="0" customWidth="1"/>
    <x:col min="2" max="2" width="40" hidden="0" customWidth="1"/>
    <x:col min="3" max="3" width="16" hidden="0" customWidth="1"/>
    <x:col min="4" max="4" width="16" hidden="0" customWidth="1"/>
    <x:col min="5" max="5" width="16" hidden="0" customWidth="1"/>
    <x:col min="6" max="6" width="28" hidden="0" customWidth="1"/>
    <x:col min="7" max="7" width="10" hidden="0" customWidth="1"/>
    <x:col min="8" max="8" width="5" hidden="0" customWidth="1"/>
    <x:col min="9" max="9" width="5" hidden="0" customWidth="1"/>
    <x:col min="10" max="10" width="5" hidden="0" customWidth="1"/>
    <x:col min="11" max="11" width="5" hidden="0" customWidth="1"/>
    <x:col min="12" max="12" width="5" hidden="0" customWidth="1"/>
    <x:col min="13" max="13" width="5" hidden="0" customWidth="1"/>
    <x:col min="14" max="14" width="5" hidden="0" customWidth="1"/>
    <x:col min="15" max="15" width="5" hidden="0" customWidth="1"/>
    <x:col min="16" max="16" width="5" hidden="0" customWidth="1"/>
    <x:col min="17" max="17" width="5" hidden="0" customWidth="1"/>
    <x:col min="18" max="18" width="5" hidden="0" customWidth="1"/>
    <x:col min="19" max="19" width="5" hidden="0" customWidth="1"/>
    <x:col min="20" max="20" width="5" hidden="0" customWidth="1"/>
    <x:col min="21" max="21" width="5" hidden="0" customWidth="1"/>
    <x:col min="22" max="22" width="5" hidden="0" customWidth="1"/>
    <x:col min="23" max="23" width="5" hidden="0" customWidth="1"/>
    <x:col min="24" max="24" width="5" hidden="0" customWidth="1"/>
  </x:cols>
  <x:sheetData>
    <x:row r="1" ht="36" customHeight="1">
      <x:c r="A1" s="4" t="str">
        <x:v>Cronograma y dependencias · Octubre 2026</x:v>
      </x:c>
      <x:c r="B1" s="4" t="str">
        <x:v>Cronograma y dependencias · Octubre 2026</x:v>
      </x:c>
      <x:c r="C1" s="4" t="str">
        <x:v>Cronograma y dependencias · Octubre 2026</x:v>
      </x:c>
      <x:c r="D1" s="4" t="str">
        <x:v>Cronograma y dependencias · Octubre 2026</x:v>
      </x:c>
      <x:c r="E1" s="4" t="str">
        <x:v>Cronograma y dependencias · Octubre 2026</x:v>
      </x:c>
      <x:c r="F1" s="4" t="str">
        <x:v>Cronograma y dependencias · Octubre 2026</x:v>
      </x:c>
      <x:c r="G1" s="4" t="str">
        <x:v>Cronograma y dependencias · Octubre 2026</x:v>
      </x:c>
      <x:c r="H1" s="4" t="str">
        <x:v>Cronograma y dependencias · Octubre 2026</x:v>
      </x:c>
      <x:c r="I1" s="4" t="str">
        <x:v>Cronograma y dependencias · Octubre 2026</x:v>
      </x:c>
      <x:c r="J1" s="4" t="str">
        <x:v>Cronograma y dependencias · Octubre 2026</x:v>
      </x:c>
      <x:c r="K1" s="4" t="str">
        <x:v>Cronograma y dependencias · Octubre 2026</x:v>
      </x:c>
      <x:c r="L1" s="4" t="str">
        <x:v>Cronograma y dependencias · Octubre 2026</x:v>
      </x:c>
      <x:c r="M1" s="4" t="str">
        <x:v>Cronograma y dependencias · Octubre 2026</x:v>
      </x:c>
      <x:c r="N1" s="4" t="str">
        <x:v>Cronograma y dependencias · Octubre 2026</x:v>
      </x:c>
      <x:c r="O1" s="4" t="str">
        <x:v>Cronograma y dependencias · Octubre 2026</x:v>
      </x:c>
      <x:c r="P1" s="4" t="str">
        <x:v>Cronograma y dependencias · Octubre 2026</x:v>
      </x:c>
      <x:c r="Q1" s="4" t="str">
        <x:v>Cronograma y dependencias · Octubre 2026</x:v>
      </x:c>
      <x:c r="R1" s="4" t="str">
        <x:v>Cronograma y dependencias · Octubre 2026</x:v>
      </x:c>
      <x:c r="S1" s="4" t="str">
        <x:v>Cronograma y dependencias · Octubre 2026</x:v>
      </x:c>
      <x:c r="T1" s="4" t="str">
        <x:v>Cronograma y dependencias · Octubre 2026</x:v>
      </x:c>
      <x:c r="U1" s="4" t="str">
        <x:v>Cronograma y dependencias · Octubre 2026</x:v>
      </x:c>
      <x:c r="V1" s="4" t="str">
        <x:v>Cronograma y dependencias · Octubre 2026</x:v>
      </x:c>
      <x:c r="W1" s="4" t="str">
        <x:v>Cronograma y dependencias · Octubre 2026</x:v>
      </x:c>
      <x:c r="X1" s="4" t="str">
        <x:v>Cronograma y dependencias · Octubre 2026</x:v>
      </x:c>
    </x:row>
    <x:row r="2" ht="20" customHeight="1">
      <x:c r="A2" s="9" t="str">
        <x:v>SIGECO BI · Proyecto aplicado I · Daniel Stiven Cortes Pedreros · ESEIT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9"/>
      <x:c r="T2" s="9"/>
      <x:c r="U2" s="9"/>
      <x:c r="V2" s="9"/>
      <x:c r="W2" s="9"/>
      <x:c r="X2" s="9"/>
    </x:row>
    <x:row r="3" ht="27" customHeight="1">
      <x:c r="A3" s="15" t="str">
        <x:v>Código</x:v>
      </x:c>
      <x:c r="B3" s="15" t="str">
        <x:v>Actividad</x:v>
      </x:c>
      <x:c r="C3" s="15" t="str">
        <x:v>Fase</x:v>
      </x:c>
      <x:c r="D3" s="15" t="str">
        <x:v>Fecha inicio</x:v>
      </x:c>
      <x:c r="E3" s="15" t="str">
        <x:v>Fecha fin</x:v>
      </x:c>
      <x:c r="F3" s="15" t="str">
        <x:v>Predecesora</x:v>
      </x:c>
      <x:c r="G3" s="15" t="str">
        <x:v>Horas</x:v>
      </x:c>
      <x:c r="H3" s="51" t="n">
        <x:v>46305</x:v>
      </x:c>
      <x:c r="I3" s="51" t="n">
        <x:v>46306</x:v>
      </x:c>
      <x:c r="J3" s="51" t="n">
        <x:v>46307</x:v>
      </x:c>
      <x:c r="K3" s="51" t="n">
        <x:v>46308</x:v>
      </x:c>
      <x:c r="L3" s="51" t="n">
        <x:v>46309</x:v>
      </x:c>
      <x:c r="M3" s="51" t="n">
        <x:v>46310</x:v>
      </x:c>
      <x:c r="N3" s="51" t="n">
        <x:v>46311</x:v>
      </x:c>
      <x:c r="O3" s="51" t="n">
        <x:v>46312</x:v>
      </x:c>
      <x:c r="P3" s="51" t="n">
        <x:v>46313</x:v>
      </x:c>
      <x:c r="Q3" s="51" t="n">
        <x:v>46314</x:v>
      </x:c>
      <x:c r="R3" s="51" t="n">
        <x:v>46315</x:v>
      </x:c>
      <x:c r="S3" s="51" t="n">
        <x:v>46316</x:v>
      </x:c>
      <x:c r="T3" s="51" t="n">
        <x:v>46317</x:v>
      </x:c>
      <x:c r="U3" s="51" t="n">
        <x:v>46318</x:v>
      </x:c>
      <x:c r="V3" s="51" t="n">
        <x:v>46319</x:v>
      </x:c>
      <x:c r="W3" s="51" t="n">
        <x:v>46320</x:v>
      </x:c>
      <x:c r="X3" s="51" t="n">
        <x:v>46321</x:v>
      </x:c>
    </x:row>
    <x:row r="4">
      <x:c r="A4" t="str">
        <x:v>P01</x:v>
      </x:c>
      <x:c r="B4" t="str">
        <x:v>Definir alcance y criterios</x:v>
      </x:c>
      <x:c r="C4" t="str">
        <x:v>Planeación</x:v>
      </x:c>
      <x:c r="D4" s="44" t="n">
        <x:v>46307</x:v>
      </x:c>
      <x:c r="E4" s="44" t="n">
        <x:v>46307</x:v>
      </x:c>
      <x:c r="F4" t="str">
        <x:v>Acta de Constitución</x:v>
      </x:c>
      <x:c r="G4" t="n">
        <x:v>6</x:v>
      </x:c>
      <x:c r="H4" t="str">
        <x:f>IF(AND(H$3&gt;=$D4,H$3&lt;=$E4),1,"")</x:f>
      </x:c>
      <x:c r="I4" t="str">
        <x:f>IF(AND(I$3&gt;=$D4,I$3&lt;=$E4),1,"")</x:f>
      </x:c>
      <x:c r="J4" t="n">
        <x:f>IF(AND(J$3&gt;=$D4,J$3&lt;=$E4),1,"")</x:f>
        <x:v>1</x:v>
      </x:c>
      <x:c r="K4" t="str">
        <x:f>IF(AND(K$3&gt;=$D4,K$3&lt;=$E4),1,"")</x:f>
      </x:c>
      <x:c r="L4" t="str">
        <x:f>IF(AND(L$3&gt;=$D4,L$3&lt;=$E4),1,"")</x:f>
      </x:c>
      <x:c r="M4" t="str">
        <x:f>IF(AND(M$3&gt;=$D4,M$3&lt;=$E4),1,"")</x:f>
      </x:c>
      <x:c r="N4" t="str">
        <x:f>IF(AND(N$3&gt;=$D4,N$3&lt;=$E4),1,"")</x:f>
      </x:c>
      <x:c r="O4" t="str">
        <x:f>IF(AND(O$3&gt;=$D4,O$3&lt;=$E4),1,"")</x:f>
      </x:c>
      <x:c r="P4" t="str">
        <x:f>IF(AND(P$3&gt;=$D4,P$3&lt;=$E4),1,"")</x:f>
      </x:c>
      <x:c r="Q4" t="str">
        <x:f>IF(AND(Q$3&gt;=$D4,Q$3&lt;=$E4),1,"")</x:f>
      </x:c>
      <x:c r="R4" t="str">
        <x:f>IF(AND(R$3&gt;=$D4,R$3&lt;=$E4),1,"")</x:f>
      </x:c>
      <x:c r="S4" t="str">
        <x:f>IF(AND(S$3&gt;=$D4,S$3&lt;=$E4),1,"")</x:f>
      </x:c>
      <x:c r="T4" t="str">
        <x:f>IF(AND(T$3&gt;=$D4,T$3&lt;=$E4),1,"")</x:f>
      </x:c>
      <x:c r="U4" t="str">
        <x:f>IF(AND(U$3&gt;=$D4,U$3&lt;=$E4),1,"")</x:f>
      </x:c>
      <x:c r="V4" t="str">
        <x:f>IF(AND(V$3&gt;=$D4,V$3&lt;=$E4),1,"")</x:f>
      </x:c>
      <x:c r="W4" t="str">
        <x:f>IF(AND(W$3&gt;=$D4,W$3&lt;=$E4),1,"")</x:f>
      </x:c>
      <x:c r="X4" t="str">
        <x:f>IF(AND(X$3&gt;=$D4,X$3&lt;=$E4),1,"")</x:f>
      </x:c>
    </x:row>
    <x:row r="5">
      <x:c r="A5" t="str">
        <x:v>P02</x:v>
      </x:c>
      <x:c r="B5" t="str">
        <x:v>Construir EDT/WBS</x:v>
      </x:c>
      <x:c r="C5" t="str">
        <x:v>Planeación</x:v>
      </x:c>
      <x:c r="D5" s="44" t="n">
        <x:v>46308</x:v>
      </x:c>
      <x:c r="E5" s="44" t="n">
        <x:v>46308</x:v>
      </x:c>
      <x:c r="F5" t="str">
        <x:v>P01</x:v>
      </x:c>
      <x:c r="G5" t="n">
        <x:v>4</x:v>
      </x:c>
      <x:c r="H5" t="str">
        <x:f>IF(AND(H$3&gt;=$D5,H$3&lt;=$E5),1,"")</x:f>
      </x:c>
      <x:c r="I5" t="str">
        <x:f>IF(AND(I$3&gt;=$D5,I$3&lt;=$E5),1,"")</x:f>
      </x:c>
      <x:c r="J5" t="str">
        <x:f>IF(AND(J$3&gt;=$D5,J$3&lt;=$E5),1,"")</x:f>
      </x:c>
      <x:c r="K5" t="n">
        <x:f>IF(AND(K$3&gt;=$D5,K$3&lt;=$E5),1,"")</x:f>
        <x:v>1</x:v>
      </x:c>
      <x:c r="L5" t="str">
        <x:f>IF(AND(L$3&gt;=$D5,L$3&lt;=$E5),1,"")</x:f>
      </x:c>
      <x:c r="M5" t="str">
        <x:f>IF(AND(M$3&gt;=$D5,M$3&lt;=$E5),1,"")</x:f>
      </x:c>
      <x:c r="N5" t="str">
        <x:f>IF(AND(N$3&gt;=$D5,N$3&lt;=$E5),1,"")</x:f>
      </x:c>
      <x:c r="O5" t="str">
        <x:f>IF(AND(O$3&gt;=$D5,O$3&lt;=$E5),1,"")</x:f>
      </x:c>
      <x:c r="P5" t="str">
        <x:f>IF(AND(P$3&gt;=$D5,P$3&lt;=$E5),1,"")</x:f>
      </x:c>
      <x:c r="Q5" t="str">
        <x:f>IF(AND(Q$3&gt;=$D5,Q$3&lt;=$E5),1,"")</x:f>
      </x:c>
      <x:c r="R5" t="str">
        <x:f>IF(AND(R$3&gt;=$D5,R$3&lt;=$E5),1,"")</x:f>
      </x:c>
      <x:c r="S5" t="str">
        <x:f>IF(AND(S$3&gt;=$D5,S$3&lt;=$E5),1,"")</x:f>
      </x:c>
      <x:c r="T5" t="str">
        <x:f>IF(AND(T$3&gt;=$D5,T$3&lt;=$E5),1,"")</x:f>
      </x:c>
      <x:c r="U5" t="str">
        <x:f>IF(AND(U$3&gt;=$D5,U$3&lt;=$E5),1,"")</x:f>
      </x:c>
      <x:c r="V5" t="str">
        <x:f>IF(AND(V$3&gt;=$D5,V$3&lt;=$E5),1,"")</x:f>
      </x:c>
      <x:c r="W5" t="str">
        <x:f>IF(AND(W$3&gt;=$D5,W$3&lt;=$E5),1,"")</x:f>
      </x:c>
      <x:c r="X5" t="str">
        <x:f>IF(AND(X$3&gt;=$D5,X$3&lt;=$E5),1,"")</x:f>
      </x:c>
    </x:row>
    <x:row r="6">
      <x:c r="A6" t="str">
        <x:v>P03</x:v>
      </x:c>
      <x:c r="B6" t="str">
        <x:v>Elaborar cronograma</x:v>
      </x:c>
      <x:c r="C6" t="str">
        <x:v>Planeación</x:v>
      </x:c>
      <x:c r="D6" s="44" t="n">
        <x:v>46309</x:v>
      </x:c>
      <x:c r="E6" s="44" t="n">
        <x:v>46309</x:v>
      </x:c>
      <x:c r="F6" t="str">
        <x:v>P02</x:v>
      </x:c>
      <x:c r="G6" t="n">
        <x:v>4</x:v>
      </x:c>
      <x:c r="H6" t="str">
        <x:f>IF(AND(H$3&gt;=$D6,H$3&lt;=$E6),1,"")</x:f>
      </x:c>
      <x:c r="I6" t="str">
        <x:f>IF(AND(I$3&gt;=$D6,I$3&lt;=$E6),1,"")</x:f>
      </x:c>
      <x:c r="J6" t="str">
        <x:f>IF(AND(J$3&gt;=$D6,J$3&lt;=$E6),1,"")</x:f>
      </x:c>
      <x:c r="K6" t="str">
        <x:f>IF(AND(K$3&gt;=$D6,K$3&lt;=$E6),1,"")</x:f>
      </x:c>
      <x:c r="L6" t="n">
        <x:f>IF(AND(L$3&gt;=$D6,L$3&lt;=$E6),1,"")</x:f>
        <x:v>1</x:v>
      </x:c>
      <x:c r="M6" t="str">
        <x:f>IF(AND(M$3&gt;=$D6,M$3&lt;=$E6),1,"")</x:f>
      </x:c>
      <x:c r="N6" t="str">
        <x:f>IF(AND(N$3&gt;=$D6,N$3&lt;=$E6),1,"")</x:f>
      </x:c>
      <x:c r="O6" t="str">
        <x:f>IF(AND(O$3&gt;=$D6,O$3&lt;=$E6),1,"")</x:f>
      </x:c>
      <x:c r="P6" t="str">
        <x:f>IF(AND(P$3&gt;=$D6,P$3&lt;=$E6),1,"")</x:f>
      </x:c>
      <x:c r="Q6" t="str">
        <x:f>IF(AND(Q$3&gt;=$D6,Q$3&lt;=$E6),1,"")</x:f>
      </x:c>
      <x:c r="R6" t="str">
        <x:f>IF(AND(R$3&gt;=$D6,R$3&lt;=$E6),1,"")</x:f>
      </x:c>
      <x:c r="S6" t="str">
        <x:f>IF(AND(S$3&gt;=$D6,S$3&lt;=$E6),1,"")</x:f>
      </x:c>
      <x:c r="T6" t="str">
        <x:f>IF(AND(T$3&gt;=$D6,T$3&lt;=$E6),1,"")</x:f>
      </x:c>
      <x:c r="U6" t="str">
        <x:f>IF(AND(U$3&gt;=$D6,U$3&lt;=$E6),1,"")</x:f>
      </x:c>
      <x:c r="V6" t="str">
        <x:f>IF(AND(V$3&gt;=$D6,V$3&lt;=$E6),1,"")</x:f>
      </x:c>
      <x:c r="W6" t="str">
        <x:f>IF(AND(W$3&gt;=$D6,W$3&lt;=$E6),1,"")</x:f>
      </x:c>
      <x:c r="X6" t="str">
        <x:f>IF(AND(X$3&gt;=$D6,X$3&lt;=$E6),1,"")</x:f>
      </x:c>
    </x:row>
    <x:row r="7">
      <x:c r="A7" t="str">
        <x:v>P04</x:v>
      </x:c>
      <x:c r="B7" t="str">
        <x:v>Estimar presupuesto</x:v>
      </x:c>
      <x:c r="C7" t="str">
        <x:v>Planeación</x:v>
      </x:c>
      <x:c r="D7" s="44" t="n">
        <x:v>46310</x:v>
      </x:c>
      <x:c r="E7" s="44" t="n">
        <x:v>46310</x:v>
      </x:c>
      <x:c r="F7" t="str">
        <x:v>P03</x:v>
      </x:c>
      <x:c r="G7" t="n">
        <x:v>4</x:v>
      </x:c>
      <x:c r="H7" t="str">
        <x:f>IF(AND(H$3&gt;=$D7,H$3&lt;=$E7),1,"")</x:f>
      </x:c>
      <x:c r="I7" t="str">
        <x:f>IF(AND(I$3&gt;=$D7,I$3&lt;=$E7),1,"")</x:f>
      </x:c>
      <x:c r="J7" t="str">
        <x:f>IF(AND(J$3&gt;=$D7,J$3&lt;=$E7),1,"")</x:f>
      </x:c>
      <x:c r="K7" t="str">
        <x:f>IF(AND(K$3&gt;=$D7,K$3&lt;=$E7),1,"")</x:f>
      </x:c>
      <x:c r="L7" t="str">
        <x:f>IF(AND(L$3&gt;=$D7,L$3&lt;=$E7),1,"")</x:f>
      </x:c>
      <x:c r="M7" t="n">
        <x:f>IF(AND(M$3&gt;=$D7,M$3&lt;=$E7),1,"")</x:f>
        <x:v>1</x:v>
      </x:c>
      <x:c r="N7" t="str">
        <x:f>IF(AND(N$3&gt;=$D7,N$3&lt;=$E7),1,"")</x:f>
      </x:c>
      <x:c r="O7" t="str">
        <x:f>IF(AND(O$3&gt;=$D7,O$3&lt;=$E7),1,"")</x:f>
      </x:c>
      <x:c r="P7" t="str">
        <x:f>IF(AND(P$3&gt;=$D7,P$3&lt;=$E7),1,"")</x:f>
      </x:c>
      <x:c r="Q7" t="str">
        <x:f>IF(AND(Q$3&gt;=$D7,Q$3&lt;=$E7),1,"")</x:f>
      </x:c>
      <x:c r="R7" t="str">
        <x:f>IF(AND(R$3&gt;=$D7,R$3&lt;=$E7),1,"")</x:f>
      </x:c>
      <x:c r="S7" t="str">
        <x:f>IF(AND(S$3&gt;=$D7,S$3&lt;=$E7),1,"")</x:f>
      </x:c>
      <x:c r="T7" t="str">
        <x:f>IF(AND(T$3&gt;=$D7,T$3&lt;=$E7),1,"")</x:f>
      </x:c>
      <x:c r="U7" t="str">
        <x:f>IF(AND(U$3&gt;=$D7,U$3&lt;=$E7),1,"")</x:f>
      </x:c>
      <x:c r="V7" t="str">
        <x:f>IF(AND(V$3&gt;=$D7,V$3&lt;=$E7),1,"")</x:f>
      </x:c>
      <x:c r="W7" t="str">
        <x:f>IF(AND(W$3&gt;=$D7,W$3&lt;=$E7),1,"")</x:f>
      </x:c>
      <x:c r="X7" t="str">
        <x:f>IF(AND(X$3&gt;=$D7,X$3&lt;=$E7),1,"")</x:f>
      </x:c>
    </x:row>
    <x:row r="8">
      <x:c r="A8" t="str">
        <x:v>P05</x:v>
      </x:c>
      <x:c r="B8" t="str">
        <x:v>Analizar riesgos</x:v>
      </x:c>
      <x:c r="C8" t="str">
        <x:v>Planeación</x:v>
      </x:c>
      <x:c r="D8" s="44" t="n">
        <x:v>46311</x:v>
      </x:c>
      <x:c r="E8" s="44" t="n">
        <x:v>46311</x:v>
      </x:c>
      <x:c r="F8" t="str">
        <x:v>P04</x:v>
      </x:c>
      <x:c r="G8" t="n">
        <x:v>4</x:v>
      </x:c>
      <x:c r="H8" t="str">
        <x:f>IF(AND(H$3&gt;=$D8,H$3&lt;=$E8),1,"")</x:f>
      </x:c>
      <x:c r="I8" t="str">
        <x:f>IF(AND(I$3&gt;=$D8,I$3&lt;=$E8),1,"")</x:f>
      </x:c>
      <x:c r="J8" t="str">
        <x:f>IF(AND(J$3&gt;=$D8,J$3&lt;=$E8),1,"")</x:f>
      </x:c>
      <x:c r="K8" t="str">
        <x:f>IF(AND(K$3&gt;=$D8,K$3&lt;=$E8),1,"")</x:f>
      </x:c>
      <x:c r="L8" t="str">
        <x:f>IF(AND(L$3&gt;=$D8,L$3&lt;=$E8),1,"")</x:f>
      </x:c>
      <x:c r="M8" t="str">
        <x:f>IF(AND(M$3&gt;=$D8,M$3&lt;=$E8),1,"")</x:f>
      </x:c>
      <x:c r="N8" t="n">
        <x:f>IF(AND(N$3&gt;=$D8,N$3&lt;=$E8),1,"")</x:f>
        <x:v>1</x:v>
      </x:c>
      <x:c r="O8" t="str">
        <x:f>IF(AND(O$3&gt;=$D8,O$3&lt;=$E8),1,"")</x:f>
      </x:c>
      <x:c r="P8" t="str">
        <x:f>IF(AND(P$3&gt;=$D8,P$3&lt;=$E8),1,"")</x:f>
      </x:c>
      <x:c r="Q8" t="str">
        <x:f>IF(AND(Q$3&gt;=$D8,Q$3&lt;=$E8),1,"")</x:f>
      </x:c>
      <x:c r="R8" t="str">
        <x:f>IF(AND(R$3&gt;=$D8,R$3&lt;=$E8),1,"")</x:f>
      </x:c>
      <x:c r="S8" t="str">
        <x:f>IF(AND(S$3&gt;=$D8,S$3&lt;=$E8),1,"")</x:f>
      </x:c>
      <x:c r="T8" t="str">
        <x:f>IF(AND(T$3&gt;=$D8,T$3&lt;=$E8),1,"")</x:f>
      </x:c>
      <x:c r="U8" t="str">
        <x:f>IF(AND(U$3&gt;=$D8,U$3&lt;=$E8),1,"")</x:f>
      </x:c>
      <x:c r="V8" t="str">
        <x:f>IF(AND(V$3&gt;=$D8,V$3&lt;=$E8),1,"")</x:f>
      </x:c>
      <x:c r="W8" t="str">
        <x:f>IF(AND(W$3&gt;=$D8,W$3&lt;=$E8),1,"")</x:f>
      </x:c>
      <x:c r="X8" t="str">
        <x:f>IF(AND(X$3&gt;=$D8,X$3&lt;=$E8),1,"")</x:f>
      </x:c>
    </x:row>
    <x:row r="9">
      <x:c r="A9" t="str">
        <x:v>E01</x:v>
      </x:c>
      <x:c r="B9" t="str">
        <x:v>Preparar y perfilar datos</x:v>
      </x:c>
      <x:c r="C9" t="str">
        <x:v>Ejecución</x:v>
      </x:c>
      <x:c r="D9" s="44" t="n">
        <x:v>46314</x:v>
      </x:c>
      <x:c r="E9" s="44" t="n">
        <x:v>46314</x:v>
      </x:c>
      <x:c r="F9" t="str">
        <x:v>P05</x:v>
      </x:c>
      <x:c r="G9" t="n">
        <x:v>10</x:v>
      </x:c>
      <x:c r="H9" t="str">
        <x:f>IF(AND(H$3&gt;=$D9,H$3&lt;=$E9),1,"")</x:f>
      </x:c>
      <x:c r="I9" t="str">
        <x:f>IF(AND(I$3&gt;=$D9,I$3&lt;=$E9),1,"")</x:f>
      </x:c>
      <x:c r="J9" t="str">
        <x:f>IF(AND(J$3&gt;=$D9,J$3&lt;=$E9),1,"")</x:f>
      </x:c>
      <x:c r="K9" t="str">
        <x:f>IF(AND(K$3&gt;=$D9,K$3&lt;=$E9),1,"")</x:f>
      </x:c>
      <x:c r="L9" t="str">
        <x:f>IF(AND(L$3&gt;=$D9,L$3&lt;=$E9),1,"")</x:f>
      </x:c>
      <x:c r="M9" t="str">
        <x:f>IF(AND(M$3&gt;=$D9,M$3&lt;=$E9),1,"")</x:f>
      </x:c>
      <x:c r="N9" t="str">
        <x:f>IF(AND(N$3&gt;=$D9,N$3&lt;=$E9),1,"")</x:f>
      </x:c>
      <x:c r="O9" t="str">
        <x:f>IF(AND(O$3&gt;=$D9,O$3&lt;=$E9),1,"")</x:f>
      </x:c>
      <x:c r="P9" t="str">
        <x:f>IF(AND(P$3&gt;=$D9,P$3&lt;=$E9),1,"")</x:f>
      </x:c>
      <x:c r="Q9" t="n">
        <x:f>IF(AND(Q$3&gt;=$D9,Q$3&lt;=$E9),1,"")</x:f>
        <x:v>1</x:v>
      </x:c>
      <x:c r="R9" t="str">
        <x:f>IF(AND(R$3&gt;=$D9,R$3&lt;=$E9),1,"")</x:f>
      </x:c>
      <x:c r="S9" t="str">
        <x:f>IF(AND(S$3&gt;=$D9,S$3&lt;=$E9),1,"")</x:f>
      </x:c>
      <x:c r="T9" t="str">
        <x:f>IF(AND(T$3&gt;=$D9,T$3&lt;=$E9),1,"")</x:f>
      </x:c>
      <x:c r="U9" t="str">
        <x:f>IF(AND(U$3&gt;=$D9,U$3&lt;=$E9),1,"")</x:f>
      </x:c>
      <x:c r="V9" t="str">
        <x:f>IF(AND(V$3&gt;=$D9,V$3&lt;=$E9),1,"")</x:f>
      </x:c>
      <x:c r="W9" t="str">
        <x:f>IF(AND(W$3&gt;=$D9,W$3&lt;=$E9),1,"")</x:f>
      </x:c>
      <x:c r="X9" t="str">
        <x:f>IF(AND(X$3&gt;=$D9,X$3&lt;=$E9),1,"")</x:f>
      </x:c>
    </x:row>
    <x:row r="10">
      <x:c r="A10" t="str">
        <x:v>E02</x:v>
      </x:c>
      <x:c r="B10" t="str">
        <x:v>Definir modelo e indicadores</x:v>
      </x:c>
      <x:c r="C10" t="str">
        <x:v>Ejecución</x:v>
      </x:c>
      <x:c r="D10" s="44" t="n">
        <x:v>46315</x:v>
      </x:c>
      <x:c r="E10" s="44" t="n">
        <x:v>46315</x:v>
      </x:c>
      <x:c r="F10" t="str">
        <x:v>E01</x:v>
      </x:c>
      <x:c r="G10" t="n">
        <x:v>9</x:v>
      </x:c>
      <x:c r="H10" t="str">
        <x:f>IF(AND(H$3&gt;=$D10,H$3&lt;=$E10),1,"")</x:f>
      </x:c>
      <x:c r="I10" t="str">
        <x:f>IF(AND(I$3&gt;=$D10,I$3&lt;=$E10),1,"")</x:f>
      </x:c>
      <x:c r="J10" t="str">
        <x:f>IF(AND(J$3&gt;=$D10,J$3&lt;=$E10),1,"")</x:f>
      </x:c>
      <x:c r="K10" t="str">
        <x:f>IF(AND(K$3&gt;=$D10,K$3&lt;=$E10),1,"")</x:f>
      </x:c>
      <x:c r="L10" t="str">
        <x:f>IF(AND(L$3&gt;=$D10,L$3&lt;=$E10),1,"")</x:f>
      </x:c>
      <x:c r="M10" t="str">
        <x:f>IF(AND(M$3&gt;=$D10,M$3&lt;=$E10),1,"")</x:f>
      </x:c>
      <x:c r="N10" t="str">
        <x:f>IF(AND(N$3&gt;=$D10,N$3&lt;=$E10),1,"")</x:f>
      </x:c>
      <x:c r="O10" t="str">
        <x:f>IF(AND(O$3&gt;=$D10,O$3&lt;=$E10),1,"")</x:f>
      </x:c>
      <x:c r="P10" t="str">
        <x:f>IF(AND(P$3&gt;=$D10,P$3&lt;=$E10),1,"")</x:f>
      </x:c>
      <x:c r="Q10" t="str">
        <x:f>IF(AND(Q$3&gt;=$D10,Q$3&lt;=$E10),1,"")</x:f>
      </x:c>
      <x:c r="R10" t="n">
        <x:f>IF(AND(R$3&gt;=$D10,R$3&lt;=$E10),1,"")</x:f>
        <x:v>1</x:v>
      </x:c>
      <x:c r="S10" t="str">
        <x:f>IF(AND(S$3&gt;=$D10,S$3&lt;=$E10),1,"")</x:f>
      </x:c>
      <x:c r="T10" t="str">
        <x:f>IF(AND(T$3&gt;=$D10,T$3&lt;=$E10),1,"")</x:f>
      </x:c>
      <x:c r="U10" t="str">
        <x:f>IF(AND(U$3&gt;=$D10,U$3&lt;=$E10),1,"")</x:f>
      </x:c>
      <x:c r="V10" t="str">
        <x:f>IF(AND(V$3&gt;=$D10,V$3&lt;=$E10),1,"")</x:f>
      </x:c>
      <x:c r="W10" t="str">
        <x:f>IF(AND(W$3&gt;=$D10,W$3&lt;=$E10),1,"")</x:f>
      </x:c>
      <x:c r="X10" t="str">
        <x:f>IF(AND(X$3&gt;=$D10,X$3&lt;=$E10),1,"")</x:f>
      </x:c>
    </x:row>
    <x:row r="11">
      <x:c r="A11" t="str">
        <x:v>E03</x:v>
      </x:c>
      <x:c r="B11" t="str">
        <x:v>Construir tablero demostrativo</x:v>
      </x:c>
      <x:c r="C11" t="str">
        <x:v>Ejecución</x:v>
      </x:c>
      <x:c r="D11" s="44" t="n">
        <x:v>46316</x:v>
      </x:c>
      <x:c r="E11" s="44" t="n">
        <x:v>46317</x:v>
      </x:c>
      <x:c r="F11" t="str">
        <x:v>E02</x:v>
      </x:c>
      <x:c r="G11" t="n">
        <x:v>13</x:v>
      </x:c>
      <x:c r="H11" t="str">
        <x:f>IF(AND(H$3&gt;=$D11,H$3&lt;=$E11),1,"")</x:f>
      </x:c>
      <x:c r="I11" t="str">
        <x:f>IF(AND(I$3&gt;=$D11,I$3&lt;=$E11),1,"")</x:f>
      </x:c>
      <x:c r="J11" t="str">
        <x:f>IF(AND(J$3&gt;=$D11,J$3&lt;=$E11),1,"")</x:f>
      </x:c>
      <x:c r="K11" t="str">
        <x:f>IF(AND(K$3&gt;=$D11,K$3&lt;=$E11),1,"")</x:f>
      </x:c>
      <x:c r="L11" t="str">
        <x:f>IF(AND(L$3&gt;=$D11,L$3&lt;=$E11),1,"")</x:f>
      </x:c>
      <x:c r="M11" t="str">
        <x:f>IF(AND(M$3&gt;=$D11,M$3&lt;=$E11),1,"")</x:f>
      </x:c>
      <x:c r="N11" t="str">
        <x:f>IF(AND(N$3&gt;=$D11,N$3&lt;=$E11),1,"")</x:f>
      </x:c>
      <x:c r="O11" t="str">
        <x:f>IF(AND(O$3&gt;=$D11,O$3&lt;=$E11),1,"")</x:f>
      </x:c>
      <x:c r="P11" t="str">
        <x:f>IF(AND(P$3&gt;=$D11,P$3&lt;=$E11),1,"")</x:f>
      </x:c>
      <x:c r="Q11" t="str">
        <x:f>IF(AND(Q$3&gt;=$D11,Q$3&lt;=$E11),1,"")</x:f>
      </x:c>
      <x:c r="R11" t="str">
        <x:f>IF(AND(R$3&gt;=$D11,R$3&lt;=$E11),1,"")</x:f>
      </x:c>
      <x:c r="S11" t="n">
        <x:f>IF(AND(S$3&gt;=$D11,S$3&lt;=$E11),1,"")</x:f>
        <x:v>1</x:v>
      </x:c>
      <x:c r="T11" t="n">
        <x:f>IF(AND(T$3&gt;=$D11,T$3&lt;=$E11),1,"")</x:f>
        <x:v>1</x:v>
      </x:c>
      <x:c r="U11" t="str">
        <x:f>IF(AND(U$3&gt;=$D11,U$3&lt;=$E11),1,"")</x:f>
      </x:c>
      <x:c r="V11" t="str">
        <x:f>IF(AND(V$3&gt;=$D11,V$3&lt;=$E11),1,"")</x:f>
      </x:c>
      <x:c r="W11" t="str">
        <x:f>IF(AND(W$3&gt;=$D11,W$3&lt;=$E11),1,"")</x:f>
      </x:c>
      <x:c r="X11" t="str">
        <x:f>IF(AND(X$3&gt;=$D11,X$3&lt;=$E11),1,"")</x:f>
      </x:c>
    </x:row>
    <x:row r="12">
      <x:c r="A12" t="str">
        <x:v>E04</x:v>
      </x:c>
      <x:c r="B12" t="str">
        <x:v>Verificar cálculos y navegación</x:v>
      </x:c>
      <x:c r="C12" t="str">
        <x:v>Ejecución</x:v>
      </x:c>
      <x:c r="D12" s="44" t="n">
        <x:v>46318</x:v>
      </x:c>
      <x:c r="E12" s="44" t="n">
        <x:v>46318</x:v>
      </x:c>
      <x:c r="F12" t="str">
        <x:v>E03</x:v>
      </x:c>
      <x:c r="G12" t="n">
        <x:v>7</x:v>
      </x:c>
      <x:c r="H12" t="str">
        <x:f>IF(AND(H$3&gt;=$D12,H$3&lt;=$E12),1,"")</x:f>
      </x:c>
      <x:c r="I12" t="str">
        <x:f>IF(AND(I$3&gt;=$D12,I$3&lt;=$E12),1,"")</x:f>
      </x:c>
      <x:c r="J12" t="str">
        <x:f>IF(AND(J$3&gt;=$D12,J$3&lt;=$E12),1,"")</x:f>
      </x:c>
      <x:c r="K12" t="str">
        <x:f>IF(AND(K$3&gt;=$D12,K$3&lt;=$E12),1,"")</x:f>
      </x:c>
      <x:c r="L12" t="str">
        <x:f>IF(AND(L$3&gt;=$D12,L$3&lt;=$E12),1,"")</x:f>
      </x:c>
      <x:c r="M12" t="str">
        <x:f>IF(AND(M$3&gt;=$D12,M$3&lt;=$E12),1,"")</x:f>
      </x:c>
      <x:c r="N12" t="str">
        <x:f>IF(AND(N$3&gt;=$D12,N$3&lt;=$E12),1,"")</x:f>
      </x:c>
      <x:c r="O12" t="str">
        <x:f>IF(AND(O$3&gt;=$D12,O$3&lt;=$E12),1,"")</x:f>
      </x:c>
      <x:c r="P12" t="str">
        <x:f>IF(AND(P$3&gt;=$D12,P$3&lt;=$E12),1,"")</x:f>
      </x:c>
      <x:c r="Q12" t="str">
        <x:f>IF(AND(Q$3&gt;=$D12,Q$3&lt;=$E12),1,"")</x:f>
      </x:c>
      <x:c r="R12" t="str">
        <x:f>IF(AND(R$3&gt;=$D12,R$3&lt;=$E12),1,"")</x:f>
      </x:c>
      <x:c r="S12" t="str">
        <x:f>IF(AND(S$3&gt;=$D12,S$3&lt;=$E12),1,"")</x:f>
      </x:c>
      <x:c r="T12" t="str">
        <x:f>IF(AND(T$3&gt;=$D12,T$3&lt;=$E12),1,"")</x:f>
      </x:c>
      <x:c r="U12" t="n">
        <x:f>IF(AND(U$3&gt;=$D12,U$3&lt;=$E12),1,"")</x:f>
        <x:v>1</x:v>
      </x:c>
      <x:c r="V12" t="str">
        <x:f>IF(AND(V$3&gt;=$D12,V$3&lt;=$E12),1,"")</x:f>
      </x:c>
      <x:c r="W12" t="str">
        <x:f>IF(AND(W$3&gt;=$D12,W$3&lt;=$E12),1,"")</x:f>
      </x:c>
      <x:c r="X12" t="str">
        <x:f>IF(AND(X$3&gt;=$D12,X$3&lt;=$E12),1,"")</x:f>
      </x:c>
    </x:row>
    <x:row r="13">
      <x:c r="A13" t="str">
        <x:v>E05</x:v>
      </x:c>
      <x:c r="B13" t="str">
        <x:v>Documentar comunicaciones</x:v>
      </x:c>
      <x:c r="C13" t="str">
        <x:v>Ejecución</x:v>
      </x:c>
      <x:c r="D13" s="44" t="n">
        <x:v>46318</x:v>
      </x:c>
      <x:c r="E13" s="44" t="n">
        <x:v>46318</x:v>
      </x:c>
      <x:c r="F13" t="str">
        <x:v>P05</x:v>
      </x:c>
      <x:c r="G13" t="n">
        <x:v>4</x:v>
      </x:c>
      <x:c r="H13" t="str">
        <x:f>IF(AND(H$3&gt;=$D13,H$3&lt;=$E13),1,"")</x:f>
      </x:c>
      <x:c r="I13" t="str">
        <x:f>IF(AND(I$3&gt;=$D13,I$3&lt;=$E13),1,"")</x:f>
      </x:c>
      <x:c r="J13" t="str">
        <x:f>IF(AND(J$3&gt;=$D13,J$3&lt;=$E13),1,"")</x:f>
      </x:c>
      <x:c r="K13" t="str">
        <x:f>IF(AND(K$3&gt;=$D13,K$3&lt;=$E13),1,"")</x:f>
      </x:c>
      <x:c r="L13" t="str">
        <x:f>IF(AND(L$3&gt;=$D13,L$3&lt;=$E13),1,"")</x:f>
      </x:c>
      <x:c r="M13" t="str">
        <x:f>IF(AND(M$3&gt;=$D13,M$3&lt;=$E13),1,"")</x:f>
      </x:c>
      <x:c r="N13" t="str">
        <x:f>IF(AND(N$3&gt;=$D13,N$3&lt;=$E13),1,"")</x:f>
      </x:c>
      <x:c r="O13" t="str">
        <x:f>IF(AND(O$3&gt;=$D13,O$3&lt;=$E13),1,"")</x:f>
      </x:c>
      <x:c r="P13" t="str">
        <x:f>IF(AND(P$3&gt;=$D13,P$3&lt;=$E13),1,"")</x:f>
      </x:c>
      <x:c r="Q13" t="str">
        <x:f>IF(AND(Q$3&gt;=$D13,Q$3&lt;=$E13),1,"")</x:f>
      </x:c>
      <x:c r="R13" t="str">
        <x:f>IF(AND(R$3&gt;=$D13,R$3&lt;=$E13),1,"")</x:f>
      </x:c>
      <x:c r="S13" t="str">
        <x:f>IF(AND(S$3&gt;=$D13,S$3&lt;=$E13),1,"")</x:f>
      </x:c>
      <x:c r="T13" t="str">
        <x:f>IF(AND(T$3&gt;=$D13,T$3&lt;=$E13),1,"")</x:f>
      </x:c>
      <x:c r="U13" t="n">
        <x:f>IF(AND(U$3&gt;=$D13,U$3&lt;=$E13),1,"")</x:f>
        <x:v>1</x:v>
      </x:c>
      <x:c r="V13" t="str">
        <x:f>IF(AND(V$3&gt;=$D13,V$3&lt;=$E13),1,"")</x:f>
      </x:c>
      <x:c r="W13" t="str">
        <x:f>IF(AND(W$3&gt;=$D13,W$3&lt;=$E13),1,"")</x:f>
      </x:c>
      <x:c r="X13" t="str">
        <x:f>IF(AND(X$3&gt;=$D13,X$3&lt;=$E13),1,"")</x:f>
      </x:c>
    </x:row>
    <x:row r="14">
      <x:c r="A14" t="str">
        <x:v>C01</x:v>
      </x:c>
      <x:c r="B14" t="str">
        <x:v>Integrar anexos y evidencias</x:v>
      </x:c>
      <x:c r="C14" t="str">
        <x:v>Cierre</x:v>
      </x:c>
      <x:c r="D14" s="44" t="n">
        <x:v>46321</x:v>
      </x:c>
      <x:c r="E14" s="44" t="n">
        <x:v>46321</x:v>
      </x:c>
      <x:c r="F14" t="str">
        <x:v>E04</x:v>
      </x:c>
      <x:c r="G14" t="n">
        <x:v>4</x:v>
      </x:c>
      <x:c r="H14" t="str">
        <x:f>IF(AND(H$3&gt;=$D14,H$3&lt;=$E14),1,"")</x:f>
      </x:c>
      <x:c r="I14" t="str">
        <x:f>IF(AND(I$3&gt;=$D14,I$3&lt;=$E14),1,"")</x:f>
      </x:c>
      <x:c r="J14" t="str">
        <x:f>IF(AND(J$3&gt;=$D14,J$3&lt;=$E14),1,"")</x:f>
      </x:c>
      <x:c r="K14" t="str">
        <x:f>IF(AND(K$3&gt;=$D14,K$3&lt;=$E14),1,"")</x:f>
      </x:c>
      <x:c r="L14" t="str">
        <x:f>IF(AND(L$3&gt;=$D14,L$3&lt;=$E14),1,"")</x:f>
      </x:c>
      <x:c r="M14" t="str">
        <x:f>IF(AND(M$3&gt;=$D14,M$3&lt;=$E14),1,"")</x:f>
      </x:c>
      <x:c r="N14" t="str">
        <x:f>IF(AND(N$3&gt;=$D14,N$3&lt;=$E14),1,"")</x:f>
      </x:c>
      <x:c r="O14" t="str">
        <x:f>IF(AND(O$3&gt;=$D14,O$3&lt;=$E14),1,"")</x:f>
      </x:c>
      <x:c r="P14" t="str">
        <x:f>IF(AND(P$3&gt;=$D14,P$3&lt;=$E14),1,"")</x:f>
      </x:c>
      <x:c r="Q14" t="str">
        <x:f>IF(AND(Q$3&gt;=$D14,Q$3&lt;=$E14),1,"")</x:f>
      </x:c>
      <x:c r="R14" t="str">
        <x:f>IF(AND(R$3&gt;=$D14,R$3&lt;=$E14),1,"")</x:f>
      </x:c>
      <x:c r="S14" t="str">
        <x:f>IF(AND(S$3&gt;=$D14,S$3&lt;=$E14),1,"")</x:f>
      </x:c>
      <x:c r="T14" t="str">
        <x:f>IF(AND(T$3&gt;=$D14,T$3&lt;=$E14),1,"")</x:f>
      </x:c>
      <x:c r="U14" t="str">
        <x:f>IF(AND(U$3&gt;=$D14,U$3&lt;=$E14),1,"")</x:f>
      </x:c>
      <x:c r="V14" t="str">
        <x:f>IF(AND(V$3&gt;=$D14,V$3&lt;=$E14),1,"")</x:f>
      </x:c>
      <x:c r="W14" t="str">
        <x:f>IF(AND(W$3&gt;=$D14,W$3&lt;=$E14),1,"")</x:f>
      </x:c>
      <x:c r="X14" t="n">
        <x:f>IF(AND(X$3&gt;=$D14,X$3&lt;=$E14),1,"")</x:f>
        <x:v>1</x:v>
      </x:c>
    </x:row>
    <x:row r="15">
      <x:c r="A15" t="str">
        <x:v>C02</x:v>
      </x:c>
      <x:c r="B15" t="str">
        <x:v>Revisar enlaces y cierre académico</x:v>
      </x:c>
      <x:c r="C15" t="str">
        <x:v>Cierre</x:v>
      </x:c>
      <x:c r="D15" s="44" t="n">
        <x:v>46321</x:v>
      </x:c>
      <x:c r="E15" s="44" t="n">
        <x:v>46321</x:v>
      </x:c>
      <x:c r="F15" t="str">
        <x:v>C01</x:v>
      </x:c>
      <x:c r="G15" t="n">
        <x:v>3</x:v>
      </x:c>
      <x:c r="H15" t="str">
        <x:f>IF(AND(H$3&gt;=$D15,H$3&lt;=$E15),1,"")</x:f>
      </x:c>
      <x:c r="I15" t="str">
        <x:f>IF(AND(I$3&gt;=$D15,I$3&lt;=$E15),1,"")</x:f>
      </x:c>
      <x:c r="J15" t="str">
        <x:f>IF(AND(J$3&gt;=$D15,J$3&lt;=$E15),1,"")</x:f>
      </x:c>
      <x:c r="K15" t="str">
        <x:f>IF(AND(K$3&gt;=$D15,K$3&lt;=$E15),1,"")</x:f>
      </x:c>
      <x:c r="L15" t="str">
        <x:f>IF(AND(L$3&gt;=$D15,L$3&lt;=$E15),1,"")</x:f>
      </x:c>
      <x:c r="M15" t="str">
        <x:f>IF(AND(M$3&gt;=$D15,M$3&lt;=$E15),1,"")</x:f>
      </x:c>
      <x:c r="N15" t="str">
        <x:f>IF(AND(N$3&gt;=$D15,N$3&lt;=$E15),1,"")</x:f>
      </x:c>
      <x:c r="O15" t="str">
        <x:f>IF(AND(O$3&gt;=$D15,O$3&lt;=$E15),1,"")</x:f>
      </x:c>
      <x:c r="P15" t="str">
        <x:f>IF(AND(P$3&gt;=$D15,P$3&lt;=$E15),1,"")</x:f>
      </x:c>
      <x:c r="Q15" t="str">
        <x:f>IF(AND(Q$3&gt;=$D15,Q$3&lt;=$E15),1,"")</x:f>
      </x:c>
      <x:c r="R15" t="str">
        <x:f>IF(AND(R$3&gt;=$D15,R$3&lt;=$E15),1,"")</x:f>
      </x:c>
      <x:c r="S15" t="str">
        <x:f>IF(AND(S$3&gt;=$D15,S$3&lt;=$E15),1,"")</x:f>
      </x:c>
      <x:c r="T15" t="str">
        <x:f>IF(AND(T$3&gt;=$D15,T$3&lt;=$E15),1,"")</x:f>
      </x:c>
      <x:c r="U15" t="str">
        <x:f>IF(AND(U$3&gt;=$D15,U$3&lt;=$E15),1,"")</x:f>
      </x:c>
      <x:c r="V15" t="str">
        <x:f>IF(AND(V$3&gt;=$D15,V$3&lt;=$E15),1,"")</x:f>
      </x:c>
      <x:c r="W15" t="str">
        <x:f>IF(AND(W$3&gt;=$D15,W$3&lt;=$E15),1,"")</x:f>
      </x:c>
      <x:c r="X15" t="n">
        <x:f>IF(AND(X$3&gt;=$D15,X$3&lt;=$E15),1,"")</x:f>
        <x:v>1</x:v>
      </x:c>
    </x:row>
  </x:sheetData>
  <x:mergeCells>
    <x:mergeCell ref="A1:X1"/>
  </x:mergeCells>
  <x:conditionalFormatting sqref="H4:X15">
    <x:cfRule type="dataBar" priority="1">
      <x:dataBar>
        <x:cfvo type="min"/>
        <x:cfvo type="max"/>
        <x:color rgb="FF2D8B75"/>
      </x:dataBar>
      <x:extLst>
        <x:ext xmlns:x14="http://schemas.microsoft.com/office/spreadsheetml/2009/9/main" uri="{B025F937-C7B1-47D3-B67F-A62EFF666E3E}">
          <x14:id>{109D139F-1560-D47B-1A79-FA01FA0B0013}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09D139F-1560-D47B-1A79-FA01FA0B0013}">
            <x14:dataBar gradient="0">
              <x14:cfvo type="min"/>
              <x14:cfvo type="max"/>
              <x14:fillColor rgb="FF2D8B75"/>
            </x14:dataBar>
          </x14:cfRule>
          <xm:sqref>H4:X15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0" hidden="0" customWidth="1"/>
    <x:col min="2" max="2" width="43" hidden="0" customWidth="1"/>
    <x:col min="3" max="3" width="18" hidden="0" customWidth="1"/>
    <x:col min="4" max="4" width="6" hidden="0" customWidth="1"/>
    <x:col min="5" max="5" width="6" hidden="0" customWidth="1"/>
    <x:col min="6" max="6" width="10" hidden="0" customWidth="1"/>
    <x:col min="7" max="7" width="10" hidden="0" customWidth="1"/>
    <x:col min="8" max="8" width="55" hidden="0" customWidth="1"/>
    <x:col min="9" max="9" width="55" hidden="0" customWidth="1"/>
    <x:col min="10" max="10" width="18" hidden="0" customWidth="1"/>
  </x:cols>
  <x:sheetData>
    <x:row r="1" ht="36" customHeight="1">
      <x:c r="A1" s="4" t="str">
        <x:v>Matriz de riesgos · P × I</x:v>
      </x:c>
      <x:c r="B1" s="4" t="str">
        <x:v>Matriz de riesgos · P × I</x:v>
      </x:c>
      <x:c r="C1" s="4" t="str">
        <x:v>Matriz de riesgos · P × I</x:v>
      </x:c>
      <x:c r="D1" s="4" t="str">
        <x:v>Matriz de riesgos · P × I</x:v>
      </x:c>
      <x:c r="E1" s="4" t="str">
        <x:v>Matriz de riesgos · P × I</x:v>
      </x:c>
      <x:c r="F1" s="4" t="str">
        <x:v>Matriz de riesgos · P × I</x:v>
      </x:c>
      <x:c r="G1" s="4" t="str">
        <x:v>Matriz de riesgos · P × I</x:v>
      </x:c>
      <x:c r="H1" s="4" t="str">
        <x:v>Matriz de riesgos · P × I</x:v>
      </x:c>
      <x:c r="I1" s="4" t="str">
        <x:v>Matriz de riesgos · P × I</x:v>
      </x:c>
      <x:c r="J1" s="4" t="str">
        <x:v>Matriz de riesgos · P × I</x:v>
      </x:c>
    </x:row>
    <x:row r="2" ht="20" customHeight="1">
      <x:c r="A2" s="9" t="str">
        <x:v>SIGECO BI · Proyecto aplicado I · Daniel Stiven Cortes Pedreros · ESEIT</x:v>
      </x:c>
      <x:c r="B2" s="9"/>
      <x:c r="C2" s="9"/>
      <x:c r="D2" s="9"/>
      <x:c r="E2" s="9"/>
      <x:c r="F2" s="9"/>
      <x:c r="G2" s="9"/>
      <x:c r="H2" s="9"/>
      <x:c r="I2" s="9"/>
      <x:c r="J2" s="9"/>
    </x:row>
    <x:row r="3" ht="27" customHeight="1">
      <x:c r="A3" s="15" t="str">
        <x:v>Código</x:v>
      </x:c>
      <x:c r="B3" s="15" t="str">
        <x:v>Riesgo</x:v>
      </x:c>
      <x:c r="C3" s="15" t="str">
        <x:v>Categoría</x:v>
      </x:c>
      <x:c r="D3" s="15" t="str">
        <x:v>P</x:v>
      </x:c>
      <x:c r="E3" s="15" t="str">
        <x:v>I</x:v>
      </x:c>
      <x:c r="F3" s="15" t="str">
        <x:v>P × I</x:v>
      </x:c>
      <x:c r="G3" s="15" t="str">
        <x:v>Nivel</x:v>
      </x:c>
      <x:c r="H3" s="15" t="str">
        <x:v>Mitigación</x:v>
      </x:c>
      <x:c r="I3" s="15" t="str">
        <x:v>Contingencia</x:v>
      </x:c>
      <x:c r="J3" s="15" t="str">
        <x:v>Responsable</x:v>
      </x:c>
    </x:row>
    <x:row r="4" ht="45" customHeight="1">
      <x:c r="A4" t="str">
        <x:v>R01</x:v>
      </x:c>
      <x:c r="B4" s="56" t="str">
        <x:v>Datos demostrativos no representan la PYME</x:v>
      </x:c>
      <x:c r="C4" t="str">
        <x:v>Datos</x:v>
      </x:c>
      <x:c r="D4" t="n">
        <x:v>4</x:v>
      </x:c>
      <x:c r="E4" t="n">
        <x:v>3</x:v>
      </x:c>
      <x:c r="F4" t="n">
        <x:f>D4*E4</x:f>
        <x:v>12</x:v>
      </x:c>
      <x:c r="G4" t="str">
        <x:f>IF(F4&gt;=15,"Alto",IF(F4&gt;=6,"Medio","Bajo"))</x:f>
        <x:v>Medio</x:v>
      </x:c>
      <x:c r="H4" s="56" t="str">
        <x:v>Explicitar el origen y separar el escenario simulado.</x:v>
      </x:c>
      <x:c r="I4" s="56" t="str">
        <x:v>Utilizar datos sintéticos locales y limitar conclusiones.</x:v>
      </x:c>
      <x:c r="J4" t="str">
        <x:v>Daniel Cortes</x:v>
      </x:c>
    </x:row>
    <x:row r="5" ht="45" customHeight="1">
      <x:c r="A5" t="str">
        <x:v>R02</x:v>
      </x:c>
      <x:c r="B5" s="56" t="str">
        <x:v>Errores de modelado o cálculos</x:v>
      </x:c>
      <x:c r="C5" t="str">
        <x:v>Calidad</x:v>
      </x:c>
      <x:c r="D5" t="n">
        <x:v>3</x:v>
      </x:c>
      <x:c r="E5" t="n">
        <x:v>5</x:v>
      </x:c>
      <x:c r="F5" t="n">
        <x:f>D5*E5</x:f>
        <x:v>15</x:v>
      </x:c>
      <x:c r="G5" t="str">
        <x:f>IF(F5&gt;=15,"Alto",IF(F5&gt;=6,"Medio","Bajo"))</x:f>
        <x:v>Alto</x:v>
      </x:c>
      <x:c r="H5" s="56" t="str">
        <x:v>Definir fórmulas y reconciliar totales con CSV.</x:v>
      </x:c>
      <x:c r="I5" s="56" t="str">
        <x:v>Corregir cálculo y registrar la incidencia.</x:v>
      </x:c>
      <x:c r="J5" t="str">
        <x:v>Daniel Cortes</x:v>
      </x:c>
    </x:row>
    <x:row r="6" ht="45" customHeight="1">
      <x:c r="A6" t="str">
        <x:v>R03</x:v>
      </x:c>
      <x:c r="B6" s="56" t="str">
        <x:v>Desfase del cronograma</x:v>
      </x:c>
      <x:c r="C6" t="str">
        <x:v>Tiempo</x:v>
      </x:c>
      <x:c r="D6" t="n">
        <x:v>3</x:v>
      </x:c>
      <x:c r="E6" t="n">
        <x:v>3</x:v>
      </x:c>
      <x:c r="F6" t="n">
        <x:f>D6*E6</x:f>
        <x:v>9</x:v>
      </x:c>
      <x:c r="G6" t="str">
        <x:f>IF(F6&gt;=15,"Alto",IF(F6&gt;=6,"Medio","Bajo"))</x:f>
        <x:v>Medio</x:v>
      </x:c>
      <x:c r="H6" s="56" t="str">
        <x:v>Priorizar hitos críticos y reservar contingencia.</x:v>
      </x:c>
      <x:c r="I6" s="56" t="str">
        <x:v>Reducir alcance no obligatorio conservando entregables.</x:v>
      </x:c>
      <x:c r="J6" t="str">
        <x:v>Daniel Cortes</x:v>
      </x:c>
    </x:row>
    <x:row r="7" ht="45" customHeight="1">
      <x:c r="A7" t="str">
        <x:v>R04</x:v>
      </x:c>
      <x:c r="B7" s="56" t="str">
        <x:v>Ampliación no controlada de alcance</x:v>
      </x:c>
      <x:c r="C7" t="str">
        <x:v>Alcance</x:v>
      </x:c>
      <x:c r="D7" t="n">
        <x:v>4</x:v>
      </x:c>
      <x:c r="E7" t="n">
        <x:v>3</x:v>
      </x:c>
      <x:c r="F7" t="n">
        <x:f>D7*E7</x:f>
        <x:v>12</x:v>
      </x:c>
      <x:c r="G7" t="str">
        <x:f>IF(F7&gt;=15,"Alto",IF(F7&gt;=6,"Medio","Bajo"))</x:f>
        <x:v>Medio</x:v>
      </x:c>
      <x:c r="H7" s="56" t="str">
        <x:v>Registrar inclusiones y exclusiones.</x:v>
      </x:c>
      <x:c r="I7" s="56" t="str">
        <x:v>Posponer integraciones no académicas.</x:v>
      </x:c>
      <x:c r="J7" t="str">
        <x:v>Daniel Cortes</x:v>
      </x:c>
    </x:row>
    <x:row r="8" ht="45" customHeight="1">
      <x:c r="A8" t="str">
        <x:v>R05</x:v>
      </x:c>
      <x:c r="B8" s="56" t="str">
        <x:v>Enlaces o archivos PDF inaccesibles</x:v>
      </x:c>
      <x:c r="C8" t="str">
        <x:v>Publicación</x:v>
      </x:c>
      <x:c r="D8" t="n">
        <x:v>3</x:v>
      </x:c>
      <x:c r="E8" t="n">
        <x:v>4</x:v>
      </x:c>
      <x:c r="F8" t="n">
        <x:f>D8*E8</x:f>
        <x:v>12</x:v>
      </x:c>
      <x:c r="G8" t="str">
        <x:f>IF(F8&gt;=15,"Alto",IF(F8&gt;=6,"Medio","Bajo"))</x:f>
        <x:v>Medio</x:v>
      </x:c>
      <x:c r="H8" s="56" t="str">
        <x:v>Probar rutas relativas en GitHub Pages.</x:v>
      </x:c>
      <x:c r="I8" s="56" t="str">
        <x:v>Volver a cargar anexos y validar permisos.</x:v>
      </x:c>
      <x:c r="J8" t="str">
        <x:v>Daniel Cortes</x:v>
      </x:c>
    </x:row>
    <x:row r="9" ht="45" customHeight="1">
      <x:c r="A9" t="str">
        <x:v>R06</x:v>
      </x:c>
      <x:c r="B9" s="56" t="str">
        <x:v>Limitaciones de Power BI online gratuito</x:v>
      </x:c>
      <x:c r="C9" t="str">
        <x:v>Tecnología</x:v>
      </x:c>
      <x:c r="D9" t="n">
        <x:v>4</x:v>
      </x:c>
      <x:c r="E9" t="n">
        <x:v>3</x:v>
      </x:c>
      <x:c r="F9" t="n">
        <x:f>D9*E9</x:f>
        <x:v>12</x:v>
      </x:c>
      <x:c r="G9" t="str">
        <x:f>IF(F9&gt;=15,"Alto",IF(F9&gt;=6,"Medio","Bajo"))</x:f>
        <x:v>Medio</x:v>
      </x:c>
      <x:c r="H9" s="56" t="str">
        <x:v>Mantener evidencia local o prototipo web sin licencia.</x:v>
      </x:c>
      <x:c r="I9" s="56" t="str">
        <x:v>Presentar archivo demostrativo, capturas y metodología.</x:v>
      </x:c>
      <x:c r="J9" t="str">
        <x:v>Daniel Cortes</x:v>
      </x:c>
    </x:row>
    <x:row r="10" ht="45" customHeight="1">
      <x:c r="A10" t="str">
        <x:v>R07</x:v>
      </x:c>
      <x:c r="B10" s="56" t="str">
        <x:v>Dependencia de un solo integrante</x:v>
      </x:c>
      <x:c r="C10" t="str">
        <x:v>Recurso</x:v>
      </x:c>
      <x:c r="D10" t="n">
        <x:v>3</x:v>
      </x:c>
      <x:c r="E10" t="n">
        <x:v>3</x:v>
      </x:c>
      <x:c r="F10" t="n">
        <x:f>D10*E10</x:f>
        <x:v>9</x:v>
      </x:c>
      <x:c r="G10" t="str">
        <x:f>IF(F10&gt;=15,"Alto",IF(F10&gt;=6,"Medio","Bajo"))</x:f>
        <x:v>Medio</x:v>
      </x:c>
      <x:c r="H10" s="56" t="str">
        <x:v>Control de versiones y entregables parciales.</x:v>
      </x:c>
      <x:c r="I10" s="56" t="str">
        <x:v>Concentrar esfuerzos en componentes obligatorios.</x:v>
      </x:c>
      <x:c r="J10" t="str">
        <x:v>Daniel Cortes</x:v>
      </x:c>
    </x:row>
    <x:row r="11" ht="45" customHeight="1">
      <x:c r="A11" t="str">
        <x:v>R08</x:v>
      </x:c>
      <x:c r="B11" s="56" t="str">
        <x:v>Mala interpretación del ROI proyectado</x:v>
      </x:c>
      <x:c r="C11" t="str">
        <x:v>Finanzas</x:v>
      </x:c>
      <x:c r="D11" t="n">
        <x:v>3</x:v>
      </x:c>
      <x:c r="E11" t="n">
        <x:v>4</x:v>
      </x:c>
      <x:c r="F11" t="n">
        <x:f>D11*E11</x:f>
        <x:v>12</x:v>
      </x:c>
      <x:c r="G11" t="str">
        <x:f>IF(F11&gt;=15,"Alto",IF(F11&gt;=6,"Medio","Bajo"))</x:f>
        <x:v>Medio</x:v>
      </x:c>
      <x:c r="H11" s="56" t="str">
        <x:v>Exponer hipótesis y fórmula de estimación.</x:v>
      </x:c>
      <x:c r="I11" s="56" t="str">
        <x:v>Presentar escenario conservador y limitar conclusiones.</x:v>
      </x:c>
      <x:c r="J11" t="str">
        <x:v>Daniel Cortes</x:v>
      </x:c>
    </x:row>
  </x:sheetData>
  <x:mergeCells>
    <x:mergeCell ref="A1:J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25" hidden="0" customWidth="1"/>
    <x:col min="3" max="3" width="25" hidden="0" customWidth="1"/>
    <x:col min="4" max="4" width="24" hidden="0" customWidth="1"/>
    <x:col min="5" max="5" width="20" hidden="0" customWidth="1"/>
  </x:cols>
  <x:sheetData>
    <x:row r="1" ht="36" customHeight="1">
      <x:c r="A1" s="4" t="str">
        <x:v>Evaluación del ROI · Simulación, no resultados reales</x:v>
      </x:c>
      <x:c r="B1" s="4" t="str">
        <x:v>Evaluación del ROI · Simulación, no resultados reales</x:v>
      </x:c>
      <x:c r="C1" s="4" t="str">
        <x:v>Evaluación del ROI · Simulación, no resultados reales</x:v>
      </x:c>
      <x:c r="D1" s="4" t="str">
        <x:v>Evaluación del ROI · Simulación, no resultados reales</x:v>
      </x:c>
      <x:c r="E1" s="4" t="str">
        <x:v>Evaluación del ROI · Simulación, no resultados reales</x:v>
      </x:c>
    </x:row>
    <x:row r="2" ht="20" customHeight="1">
      <x:c r="A2" s="9" t="str">
        <x:v>SIGECO BI · Proyecto aplicado I · Daniel Stiven Cortes Pedreros · ESEIT</x:v>
      </x:c>
      <x:c r="B2" s="9"/>
      <x:c r="C2" s="9"/>
      <x:c r="D2" s="9"/>
      <x:c r="E2" s="9"/>
    </x:row>
    <x:row r="4" ht="27" customHeight="1">
      <x:c r="A4" s="15" t="str">
        <x:v>Indicador</x:v>
      </x:c>
      <x:c r="B4" s="15" t="str">
        <x:v>Valor</x:v>
      </x:c>
    </x:row>
    <x:row r="5">
      <x:c r="A5" t="str">
        <x:v>Inversión inicial</x:v>
      </x:c>
      <x:c r="B5" s="20" t="n">
        <x:f>Presupuesto!E18</x:f>
        <x:v>1980000</x:v>
      </x:c>
    </x:row>
    <x:row r="6">
      <x:c r="A6" t="str">
        <x:v>Horas antes / mes</x:v>
      </x:c>
      <x:c r="B6" t="n">
        <x:f>Supuestos!B7</x:f>
        <x:v>12</x:v>
      </x:c>
    </x:row>
    <x:row r="7">
      <x:c r="A7" t="str">
        <x:v>Horas después / mes</x:v>
      </x:c>
      <x:c r="B7" t="n">
        <x:f>Supuestos!B8</x:f>
        <x:v>4</x:v>
      </x:c>
    </x:row>
    <x:row r="8">
      <x:c r="A8" t="str">
        <x:v>Horas ahorradas / mes</x:v>
      </x:c>
      <x:c r="B8" t="n">
        <x:f>B6-B7</x:f>
        <x:v>8</x:v>
      </x:c>
    </x:row>
    <x:row r="9">
      <x:c r="A9" t="str">
        <x:v>Tarifa de trabajo COP/h</x:v>
      </x:c>
      <x:c r="B9" s="20" t="n">
        <x:f>Supuestos!B5</x:f>
        <x:v>25000</x:v>
      </x:c>
    </x:row>
    <x:row r="10">
      <x:c r="A10" t="str">
        <x:v>Ahorro bruto mensual</x:v>
      </x:c>
      <x:c r="B10" s="20" t="n">
        <x:f>B8*B9</x:f>
        <x:v>200000</x:v>
      </x:c>
    </x:row>
    <x:row r="11">
      <x:c r="A11" t="str">
        <x:v>Mantenimiento mensual</x:v>
      </x:c>
      <x:c r="B11" s="20" t="n">
        <x:f>Supuestos!B9</x:f>
        <x:v>20000</x:v>
      </x:c>
    </x:row>
    <x:row r="12">
      <x:c r="A12" t="str">
        <x:v>Beneficio neto mensual</x:v>
      </x:c>
      <x:c r="B12" s="20" t="n">
        <x:f>B10-B11</x:f>
        <x:v>180000</x:v>
      </x:c>
    </x:row>
    <x:row r="13">
      <x:c r="A13" t="str">
        <x:v>Beneficio neto 12 meses</x:v>
      </x:c>
      <x:c r="B13" s="20" t="n">
        <x:f>B12*Supuestos!B10</x:f>
        <x:v>2160000</x:v>
      </x:c>
    </x:row>
    <x:row r="14">
      <x:c r="A14" t="str">
        <x:v>ROI simple 12 meses</x:v>
      </x:c>
      <x:c r="B14" s="58" t="n">
        <x:f>(B13-B5)/B5</x:f>
        <x:v>0.09090909090909091</x:v>
      </x:c>
    </x:row>
    <x:row r="15">
      <x:c r="A15" t="str">
        <x:v>Recuperación simple (meses)</x:v>
      </x:c>
      <x:c r="B15" s="60" t="n">
        <x:f>B5/B12</x:f>
        <x:v>11</x:v>
      </x:c>
    </x:row>
    <x:row r="16">
      <x:c r="A16" t="str">
        <x:v>ROI simple 24 meses</x:v>
      </x:c>
      <x:c r="B16" s="58" t="n">
        <x:f>((B12*Supuestos!B11)-B5)/B5</x:f>
        <x:v>1.1818181818181819</x:v>
      </x:c>
    </x:row>
    <x:row r="19">
      <x:c r="A19" s="25" t="str">
        <x:v>Fórmula ROI</x:v>
      </x:c>
      <x:c r="B19" t="str">
        <x:v>(Beneficio acumulado neto - inversión) / inversión</x:v>
      </x:c>
    </x:row>
    <x:row r="20">
      <x:c r="A20" s="25" t="str">
        <x:v>Contexto</x:v>
      </x:c>
      <x:c r="B20" t="str">
        <x:v>Ahorro de tiempo hipotético, sin medición empresarial</x:v>
      </x:c>
    </x:row>
    <x:row r="21">
      <x:c r="A21" s="25" t="str">
        <x:v>Límite</x:v>
      </x:c>
      <x:c r="B21" t="str">
        <x:v>Modelo sin descuento, impuestos, inflación ni depreciación</x:v>
      </x:c>
    </x:row>
  </x:sheetData>
  <x:mergeCells>
    <x:mergeCell ref="A1:E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17" hidden="0" customWidth="1"/>
    <x:col min="3" max="3" width="14" hidden="0" customWidth="1"/>
    <x:col min="4" max="4" width="19" hidden="0" customWidth="1"/>
    <x:col min="5" max="5" width="17" hidden="0" customWidth="1"/>
    <x:col min="6" max="6" width="18" hidden="0" customWidth="1"/>
    <x:col min="7" max="7" width="1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36" customHeight="1">
      <x:c r="A1" s="4" t="str">
        <x:v>Datos sintéticos del prototipo · 180 registros</x:v>
      </x:c>
      <x:c r="B1" s="4" t="str">
        <x:v>Datos sintéticos del prototipo · 180 registros</x:v>
      </x:c>
      <x:c r="C1" s="4" t="str">
        <x:v>Datos sintéticos del prototipo · 180 registros</x:v>
      </x:c>
      <x:c r="D1" s="4" t="str">
        <x:v>Datos sintéticos del prototipo · 180 registros</x:v>
      </x:c>
      <x:c r="E1" s="4" t="str">
        <x:v>Datos sintéticos del prototipo · 180 registros</x:v>
      </x:c>
      <x:c r="F1" s="4" t="str">
        <x:v>Datos sintéticos del prototipo · 180 registros</x:v>
      </x:c>
      <x:c r="G1" s="4" t="str">
        <x:v>Datos sintéticos del prototipo · 180 registros</x:v>
      </x:c>
      <x:c r="H1" s="4" t="str">
        <x:v>Datos sintéticos del prototipo · 180 registros</x:v>
      </x:c>
      <x:c r="I1" s="4" t="str">
        <x:v>Datos sintéticos del prototipo · 180 registros</x:v>
      </x:c>
      <x:c r="J1" s="4" t="str">
        <x:v>Datos sintéticos del prototipo · 180 registros</x:v>
      </x:c>
    </x:row>
    <x:row r="2" ht="20" customHeight="1">
      <x:c r="A2" s="9" t="str">
        <x:v>SIGECO BI · Proyecto aplicado I · Daniel Stiven Cortes Pedreros · ESEIT</x:v>
      </x:c>
      <x:c r="B2" s="9"/>
      <x:c r="C2" s="9"/>
      <x:c r="D2" s="9"/>
      <x:c r="E2" s="9"/>
      <x:c r="F2" s="9"/>
      <x:c r="G2" s="9"/>
      <x:c r="H2" s="9"/>
      <x:c r="I2" s="9"/>
      <x:c r="J2" s="9"/>
    </x:row>
    <x:row r="3" ht="27" customHeight="1">
      <x:c r="A3" s="15" t="str">
        <x:v>pedido</x:v>
      </x:c>
      <x:c r="B3" s="15" t="str">
        <x:v>fecha</x:v>
      </x:c>
      <x:c r="C3" s="15" t="str">
        <x:v>mes</x:v>
      </x:c>
      <x:c r="D3" s="15" t="str">
        <x:v>segmento</x:v>
      </x:c>
      <x:c r="E3" s="15" t="str">
        <x:v>ciudad</x:v>
      </x:c>
      <x:c r="F3" s="15" t="str">
        <x:v>producto</x:v>
      </x:c>
      <x:c r="G3" s="15" t="str">
        <x:v>unidades</x:v>
      </x:c>
      <x:c r="H3" s="15" t="str">
        <x:v>ventas_cop</x:v>
      </x:c>
      <x:c r="I3" s="15" t="str">
        <x:v>costo_cop</x:v>
      </x:c>
      <x:c r="J3" s="15" t="str">
        <x:v>utilidad_cop</x:v>
      </x:c>
    </x:row>
    <x:row r="4">
      <x:c r="A4" t="str">
        <x:v>DEM-0001</x:v>
      </x:c>
      <x:c r="B4" t="str">
        <x:v>2026-01-24</x:v>
      </x:c>
      <x:c r="C4" t="str">
        <x:v>2026-01</x:v>
      </x:c>
      <x:c r="D4" t="str">
        <x:v>Mayorista</x:v>
      </x:c>
      <x:c r="E4" t="str">
        <x:v>Medellín</x:v>
      </x:c>
      <x:c r="F4" t="str">
        <x:v>Accesorios</x:v>
      </x:c>
      <x:c r="G4" t="n">
        <x:v>12</x:v>
      </x:c>
      <x:c r="H4" s="20" t="n">
        <x:v>2508000</x:v>
      </x:c>
      <x:c r="I4" s="20" t="n">
        <x:v>1716000</x:v>
      </x:c>
      <x:c r="J4" s="20" t="n">
        <x:v>792000</x:v>
      </x:c>
    </x:row>
    <x:row r="5">
      <x:c r="A5" t="str">
        <x:v>DEM-0002</x:v>
      </x:c>
      <x:c r="B5" t="str">
        <x:v>2026-02-24</x:v>
      </x:c>
      <x:c r="C5" t="str">
        <x:v>2026-02</x:v>
      </x:c>
      <x:c r="D5" t="str">
        <x:v>Mayorista</x:v>
      </x:c>
      <x:c r="E5" t="str">
        <x:v>Medellín</x:v>
      </x:c>
      <x:c r="F5" t="str">
        <x:v>Impresoras</x:v>
      </x:c>
      <x:c r="G5" t="n">
        <x:v>10</x:v>
      </x:c>
      <x:c r="H5" s="20" t="n">
        <x:v>13125000</x:v>
      </x:c>
      <x:c r="I5" s="20" t="n">
        <x:v>9250000</x:v>
      </x:c>
      <x:c r="J5" s="20" t="n">
        <x:v>3875000</x:v>
      </x:c>
    </x:row>
    <x:row r="6">
      <x:c r="A6" t="str">
        <x:v>DEM-0003</x:v>
      </x:c>
      <x:c r="B6" t="str">
        <x:v>2026-03-16</x:v>
      </x:c>
      <x:c r="C6" t="str">
        <x:v>2026-03</x:v>
      </x:c>
      <x:c r="D6" t="str">
        <x:v>Empresas</x:v>
      </x:c>
      <x:c r="E6" t="str">
        <x:v>Barranquilla</x:v>
      </x:c>
      <x:c r="F6" t="str">
        <x:v>Accesorios</x:v>
      </x:c>
      <x:c r="G6" t="n">
        <x:v>7</x:v>
      </x:c>
      <x:c r="H6" s="20" t="n">
        <x:v>1463000</x:v>
      </x:c>
      <x:c r="I6" s="20" t="n">
        <x:v>1001000</x:v>
      </x:c>
      <x:c r="J6" s="20" t="n">
        <x:v>462000</x:v>
      </x:c>
    </x:row>
    <x:row r="7">
      <x:c r="A7" t="str">
        <x:v>DEM-0004</x:v>
      </x:c>
      <x:c r="B7" t="str">
        <x:v>2026-04-06</x:v>
      </x:c>
      <x:c r="C7" t="str">
        <x:v>2026-04</x:v>
      </x:c>
      <x:c r="D7" t="str">
        <x:v>Empresas</x:v>
      </x:c>
      <x:c r="E7" t="str">
        <x:v>Medellín</x:v>
      </x:c>
      <x:c r="F7" t="str">
        <x:v>Accesorios</x:v>
      </x:c>
      <x:c r="G7" t="n">
        <x:v>8</x:v>
      </x:c>
      <x:c r="H7" s="20" t="n">
        <x:v>1848000</x:v>
      </x:c>
      <x:c r="I7" s="20" t="n">
        <x:v>1144000</x:v>
      </x:c>
      <x:c r="J7" s="20" t="n">
        <x:v>704000</x:v>
      </x:c>
    </x:row>
    <x:row r="8">
      <x:c r="A8" t="str">
        <x:v>DEM-0005</x:v>
      </x:c>
      <x:c r="B8" t="str">
        <x:v>2026-05-19</x:v>
      </x:c>
      <x:c r="C8" t="str">
        <x:v>2026-05</x:v>
      </x:c>
      <x:c r="D8" t="str">
        <x:v>Minorista</x:v>
      </x:c>
      <x:c r="E8" t="str">
        <x:v>Medellín</x:v>
      </x:c>
      <x:c r="F8" t="str">
        <x:v>Accesorios</x:v>
      </x:c>
      <x:c r="G8" t="n">
        <x:v>2</x:v>
      </x:c>
      <x:c r="H8" s="20" t="n">
        <x:v>405000</x:v>
      </x:c>
      <x:c r="I8" s="20" t="n">
        <x:v>286000</x:v>
      </x:c>
      <x:c r="J8" s="20" t="n">
        <x:v>119000</x:v>
      </x:c>
    </x:row>
    <x:row r="9">
      <x:c r="A9" t="str">
        <x:v>DEM-0006</x:v>
      </x:c>
      <x:c r="B9" t="str">
        <x:v>2026-06-07</x:v>
      </x:c>
      <x:c r="C9" t="str">
        <x:v>2026-06</x:v>
      </x:c>
      <x:c r="D9" t="str">
        <x:v>Empresas</x:v>
      </x:c>
      <x:c r="E9" t="str">
        <x:v>Bogotá</x:v>
      </x:c>
      <x:c r="F9" t="str">
        <x:v>Monitores</x:v>
      </x:c>
      <x:c r="G9" t="n">
        <x:v>3</x:v>
      </x:c>
      <x:c r="H9" s="20" t="n">
        <x:v>2679000</x:v>
      </x:c>
      <x:c r="I9" s="20" t="n">
        <x:v>2030000</x:v>
      </x:c>
      <x:c r="J9" s="20" t="n">
        <x:v>649000</x:v>
      </x:c>
    </x:row>
    <x:row r="10">
      <x:c r="A10" t="str">
        <x:v>DEM-0007</x:v>
      </x:c>
      <x:c r="B10" t="str">
        <x:v>2026-07-05</x:v>
      </x:c>
      <x:c r="C10" t="str">
        <x:v>2026-07</x:v>
      </x:c>
      <x:c r="D10" t="str">
        <x:v>Empresas</x:v>
      </x:c>
      <x:c r="E10" t="str">
        <x:v>Medellín</x:v>
      </x:c>
      <x:c r="F10" t="str">
        <x:v>Monitores</x:v>
      </x:c>
      <x:c r="G10" t="n">
        <x:v>2</x:v>
      </x:c>
      <x:c r="H10" s="20" t="n">
        <x:v>1974000</x:v>
      </x:c>
      <x:c r="I10" s="20" t="n">
        <x:v>1354000</x:v>
      </x:c>
      <x:c r="J10" s="20" t="n">
        <x:v>620000</x:v>
      </x:c>
    </x:row>
    <x:row r="11">
      <x:c r="A11" t="str">
        <x:v>DEM-0008</x:v>
      </x:c>
      <x:c r="B11" t="str">
        <x:v>2026-08-18</x:v>
      </x:c>
      <x:c r="C11" t="str">
        <x:v>2026-08</x:v>
      </x:c>
      <x:c r="D11" t="str">
        <x:v>Mayorista</x:v>
      </x:c>
      <x:c r="E11" t="str">
        <x:v>Medellín</x:v>
      </x:c>
      <x:c r="F11" t="str">
        <x:v>Monitores</x:v>
      </x:c>
      <x:c r="G11" t="n">
        <x:v>4</x:v>
      </x:c>
      <x:c r="H11" s="20" t="n">
        <x:v>4061000</x:v>
      </x:c>
      <x:c r="I11" s="20" t="n">
        <x:v>2707000</x:v>
      </x:c>
      <x:c r="J11" s="20" t="n">
        <x:v>1354000</x:v>
      </x:c>
    </x:row>
    <x:row r="12">
      <x:c r="A12" t="str">
        <x:v>DEM-0009</x:v>
      </x:c>
      <x:c r="B12" t="str">
        <x:v>2026-09-06</x:v>
      </x:c>
      <x:c r="C12" t="str">
        <x:v>2026-09</x:v>
      </x:c>
      <x:c r="D12" t="str">
        <x:v>Minorista</x:v>
      </x:c>
      <x:c r="E12" t="str">
        <x:v>Barranquilla</x:v>
      </x:c>
      <x:c r="F12" t="str">
        <x:v>Accesorios</x:v>
      </x:c>
      <x:c r="G12" t="n">
        <x:v>1</x:v>
      </x:c>
      <x:c r="H12" s="20" t="n">
        <x:v>231000</x:v>
      </x:c>
      <x:c r="I12" s="20" t="n">
        <x:v>143000</x:v>
      </x:c>
      <x:c r="J12" s="20" t="n">
        <x:v>88000</x:v>
      </x:c>
    </x:row>
    <x:row r="13">
      <x:c r="A13" t="str">
        <x:v>DEM-0010</x:v>
      </x:c>
      <x:c r="B13" t="str">
        <x:v>2026-01-04</x:v>
      </x:c>
      <x:c r="C13" t="str">
        <x:v>2026-01</x:v>
      </x:c>
      <x:c r="D13" t="str">
        <x:v>Minorista</x:v>
      </x:c>
      <x:c r="E13" t="str">
        <x:v>Bogotá</x:v>
      </x:c>
      <x:c r="F13" t="str">
        <x:v>Portátiles</x:v>
      </x:c>
      <x:c r="G13" t="n">
        <x:v>1</x:v>
      </x:c>
      <x:c r="H13" s="20" t="n">
        <x:v>2622000</x:v>
      </x:c>
      <x:c r="I13" s="20" t="n">
        <x:v>2194000</x:v>
      </x:c>
      <x:c r="J13" s="20" t="n">
        <x:v>428000</x:v>
      </x:c>
    </x:row>
    <x:row r="14">
      <x:c r="A14" t="str">
        <x:v>DEM-0011</x:v>
      </x:c>
      <x:c r="B14" t="str">
        <x:v>2026-02-01</x:v>
      </x:c>
      <x:c r="C14" t="str">
        <x:v>2026-02</x:v>
      </x:c>
      <x:c r="D14" t="str">
        <x:v>Empresas</x:v>
      </x:c>
      <x:c r="E14" t="str">
        <x:v>Cali</x:v>
      </x:c>
      <x:c r="F14" t="str">
        <x:v>Accesorios</x:v>
      </x:c>
      <x:c r="G14" t="n">
        <x:v>2</x:v>
      </x:c>
      <x:c r="H14" s="20" t="n">
        <x:v>405000</x:v>
      </x:c>
      <x:c r="I14" s="20" t="n">
        <x:v>286000</x:v>
      </x:c>
      <x:c r="J14" s="20" t="n">
        <x:v>119000</x:v>
      </x:c>
    </x:row>
    <x:row r="15">
      <x:c r="A15" t="str">
        <x:v>DEM-0012</x:v>
      </x:c>
      <x:c r="B15" t="str">
        <x:v>2026-03-14</x:v>
      </x:c>
      <x:c r="C15" t="str">
        <x:v>2026-03</x:v>
      </x:c>
      <x:c r="D15" t="str">
        <x:v>Empresas</x:v>
      </x:c>
      <x:c r="E15" t="str">
        <x:v>Cali</x:v>
      </x:c>
      <x:c r="F15" t="str">
        <x:v>Accesorios</x:v>
      </x:c>
      <x:c r="G15" t="n">
        <x:v>5</x:v>
      </x:c>
      <x:c r="H15" s="20" t="n">
        <x:v>1100000</x:v>
      </x:c>
      <x:c r="I15" s="20" t="n">
        <x:v>715000</x:v>
      </x:c>
      <x:c r="J15" s="20" t="n">
        <x:v>385000</x:v>
      </x:c>
    </x:row>
    <x:row r="16">
      <x:c r="A16" t="str">
        <x:v>DEM-0013</x:v>
      </x:c>
      <x:c r="B16" t="str">
        <x:v>2026-04-12</x:v>
      </x:c>
      <x:c r="C16" t="str">
        <x:v>2026-04</x:v>
      </x:c>
      <x:c r="D16" t="str">
        <x:v>Mayorista</x:v>
      </x:c>
      <x:c r="E16" t="str">
        <x:v>Cali</x:v>
      </x:c>
      <x:c r="F16" t="str">
        <x:v>Accesorios</x:v>
      </x:c>
      <x:c r="G16" t="n">
        <x:v>6</x:v>
      </x:c>
      <x:c r="H16" s="20" t="n">
        <x:v>1214000</x:v>
      </x:c>
      <x:c r="I16" s="20" t="n">
        <x:v>858000</x:v>
      </x:c>
      <x:c r="J16" s="20" t="n">
        <x:v>356000</x:v>
      </x:c>
    </x:row>
    <x:row r="17">
      <x:c r="A17" t="str">
        <x:v>DEM-0014</x:v>
      </x:c>
      <x:c r="B17" t="str">
        <x:v>2026-05-05</x:v>
      </x:c>
      <x:c r="C17" t="str">
        <x:v>2026-05</x:v>
      </x:c>
      <x:c r="D17" t="str">
        <x:v>Mayorista</x:v>
      </x:c>
      <x:c r="E17" t="str">
        <x:v>Cali</x:v>
      </x:c>
      <x:c r="F17" t="str">
        <x:v>Impresoras</x:v>
      </x:c>
      <x:c r="G17" t="n">
        <x:v>8</x:v>
      </x:c>
      <x:c r="H17" s="20" t="n">
        <x:v>10800000</x:v>
      </x:c>
      <x:c r="I17" s="20" t="n">
        <x:v>7400000</x:v>
      </x:c>
      <x:c r="J17" s="20" t="n">
        <x:v>3400000</x:v>
      </x:c>
    </x:row>
    <x:row r="18">
      <x:c r="A18" t="str">
        <x:v>DEM-0015</x:v>
      </x:c>
      <x:c r="B18" t="str">
        <x:v>2026-06-14</x:v>
      </x:c>
      <x:c r="C18" t="str">
        <x:v>2026-06</x:v>
      </x:c>
      <x:c r="D18" t="str">
        <x:v>Minorista</x:v>
      </x:c>
      <x:c r="E18" t="str">
        <x:v>Cali</x:v>
      </x:c>
      <x:c r="F18" t="str">
        <x:v>Impresoras</x:v>
      </x:c>
      <x:c r="G18" t="n">
        <x:v>7</x:v>
      </x:c>
      <x:c r="H18" s="20" t="n">
        <x:v>8312000</x:v>
      </x:c>
      <x:c r="I18" s="20" t="n">
        <x:v>6475000</x:v>
      </x:c>
      <x:c r="J18" s="20" t="n">
        <x:v>1837000</x:v>
      </x:c>
    </x:row>
    <x:row r="19">
      <x:c r="A19" t="str">
        <x:v>DEM-0016</x:v>
      </x:c>
      <x:c r="B19" t="str">
        <x:v>2026-07-24</x:v>
      </x:c>
      <x:c r="C19" t="str">
        <x:v>2026-07</x:v>
      </x:c>
      <x:c r="D19" t="str">
        <x:v>Mayorista</x:v>
      </x:c>
      <x:c r="E19" t="str">
        <x:v>Cali</x:v>
      </x:c>
      <x:c r="F19" t="str">
        <x:v>Accesorios</x:v>
      </x:c>
      <x:c r="G19" t="n">
        <x:v>4</x:v>
      </x:c>
      <x:c r="H19" s="20" t="n">
        <x:v>810000</x:v>
      </x:c>
      <x:c r="I19" s="20" t="n">
        <x:v>572000</x:v>
      </x:c>
      <x:c r="J19" s="20" t="n">
        <x:v>238000</x:v>
      </x:c>
    </x:row>
    <x:row r="20">
      <x:c r="A20" t="str">
        <x:v>DEM-0017</x:v>
      </x:c>
      <x:c r="B20" t="str">
        <x:v>2026-08-08</x:v>
      </x:c>
      <x:c r="C20" t="str">
        <x:v>2026-08</x:v>
      </x:c>
      <x:c r="D20" t="str">
        <x:v>Mayorista</x:v>
      </x:c>
      <x:c r="E20" t="str">
        <x:v>Bogotá</x:v>
      </x:c>
      <x:c r="F20" t="str">
        <x:v>Monitores</x:v>
      </x:c>
      <x:c r="G20" t="n">
        <x:v>4</x:v>
      </x:c>
      <x:c r="H20" s="20" t="n">
        <x:v>3459000</x:v>
      </x:c>
      <x:c r="I20" s="20" t="n">
        <x:v>2707000</x:v>
      </x:c>
      <x:c r="J20" s="20" t="n">
        <x:v>752000</x:v>
      </x:c>
    </x:row>
    <x:row r="21">
      <x:c r="A21" t="str">
        <x:v>DEM-0018</x:v>
      </x:c>
      <x:c r="B21" t="str">
        <x:v>2026-09-23</x:v>
      </x:c>
      <x:c r="C21" t="str">
        <x:v>2026-09</x:v>
      </x:c>
      <x:c r="D21" t="str">
        <x:v>Empresas</x:v>
      </x:c>
      <x:c r="E21" t="str">
        <x:v>Medellín</x:v>
      </x:c>
      <x:c r="F21" t="str">
        <x:v>Portátiles</x:v>
      </x:c>
      <x:c r="G21" t="n">
        <x:v>1</x:v>
      </x:c>
      <x:c r="H21" s="20" t="n">
        <x:v>3078000</x:v>
      </x:c>
      <x:c r="I21" s="20" t="n">
        <x:v>2194000</x:v>
      </x:c>
      <x:c r="J21" s="20" t="n">
        <x:v>884000</x:v>
      </x:c>
    </x:row>
    <x:row r="22">
      <x:c r="A22" t="str">
        <x:v>DEM-0019</x:v>
      </x:c>
      <x:c r="B22" t="str">
        <x:v>2026-01-14</x:v>
      </x:c>
      <x:c r="C22" t="str">
        <x:v>2026-01</x:v>
      </x:c>
      <x:c r="D22" t="str">
        <x:v>Minorista</x:v>
      </x:c>
      <x:c r="E22" t="str">
        <x:v>Barranquilla</x:v>
      </x:c>
      <x:c r="F22" t="str">
        <x:v>Portátiles</x:v>
      </x:c>
      <x:c r="G22" t="n">
        <x:v>6</x:v>
      </x:c>
      <x:c r="H22" s="20" t="n">
        <x:v>15732000</x:v>
      </x:c>
      <x:c r="I22" s="20" t="n">
        <x:v>13167000</x:v>
      </x:c>
      <x:c r="J22" s="20" t="n">
        <x:v>2565000</x:v>
      </x:c>
    </x:row>
    <x:row r="23">
      <x:c r="A23" t="str">
        <x:v>DEM-0020</x:v>
      </x:c>
      <x:c r="B23" t="str">
        <x:v>2026-02-06</x:v>
      </x:c>
      <x:c r="C23" t="str">
        <x:v>2026-02</x:v>
      </x:c>
      <x:c r="D23" t="str">
        <x:v>Minorista</x:v>
      </x:c>
      <x:c r="E23" t="str">
        <x:v>Barranquilla</x:v>
      </x:c>
      <x:c r="F23" t="str">
        <x:v>Portátiles</x:v>
      </x:c>
      <x:c r="G23" t="n">
        <x:v>4</x:v>
      </x:c>
      <x:c r="H23" s="20" t="n">
        <x:v>12312000</x:v>
      </x:c>
      <x:c r="I23" s="20" t="n">
        <x:v>8778000</x:v>
      </x:c>
      <x:c r="J23" s="20" t="n">
        <x:v>3534000</x:v>
      </x:c>
    </x:row>
    <x:row r="24">
      <x:c r="A24" t="str">
        <x:v>DEM-0021</x:v>
      </x:c>
      <x:c r="B24" t="str">
        <x:v>2026-03-10</x:v>
      </x:c>
      <x:c r="C24" t="str">
        <x:v>2026-03</x:v>
      </x:c>
      <x:c r="D24" t="str">
        <x:v>Empresas</x:v>
      </x:c>
      <x:c r="E24" t="str">
        <x:v>Bogotá</x:v>
      </x:c>
      <x:c r="F24" t="str">
        <x:v>Accesorios</x:v>
      </x:c>
      <x:c r="G24" t="n">
        <x:v>2</x:v>
      </x:c>
      <x:c r="H24" s="20" t="n">
        <x:v>440000</x:v>
      </x:c>
      <x:c r="I24" s="20" t="n">
        <x:v>286000</x:v>
      </x:c>
      <x:c r="J24" s="20" t="n">
        <x:v>154000</x:v>
      </x:c>
    </x:row>
    <x:row r="25">
      <x:c r="A25" t="str">
        <x:v>DEM-0022</x:v>
      </x:c>
      <x:c r="B25" t="str">
        <x:v>2026-04-09</x:v>
      </x:c>
      <x:c r="C25" t="str">
        <x:v>2026-04</x:v>
      </x:c>
      <x:c r="D25" t="str">
        <x:v>Empresas</x:v>
      </x:c>
      <x:c r="E25" t="str">
        <x:v>Cali</x:v>
      </x:c>
      <x:c r="F25" t="str">
        <x:v>Portátiles</x:v>
      </x:c>
      <x:c r="G25" t="n">
        <x:v>3</x:v>
      </x:c>
      <x:c r="H25" s="20" t="n">
        <x:v>8978000</x:v>
      </x:c>
      <x:c r="I25" s="20" t="n">
        <x:v>6584000</x:v>
      </x:c>
      <x:c r="J25" s="20" t="n">
        <x:v>2394000</x:v>
      </x:c>
    </x:row>
    <x:row r="26">
      <x:c r="A26" t="str">
        <x:v>DEM-0023</x:v>
      </x:c>
      <x:c r="B26" t="str">
        <x:v>2026-05-06</x:v>
      </x:c>
      <x:c r="C26" t="str">
        <x:v>2026-05</x:v>
      </x:c>
      <x:c r="D26" t="str">
        <x:v>Minorista</x:v>
      </x:c>
      <x:c r="E26" t="str">
        <x:v>Cali</x:v>
      </x:c>
      <x:c r="F26" t="str">
        <x:v>Impresoras</x:v>
      </x:c>
      <x:c r="G26" t="n">
        <x:v>3</x:v>
      </x:c>
      <x:c r="H26" s="20" t="n">
        <x:v>3450000</x:v>
      </x:c>
      <x:c r="I26" s="20" t="n">
        <x:v>2775000</x:v>
      </x:c>
      <x:c r="J26" s="20" t="n">
        <x:v>675000</x:v>
      </x:c>
    </x:row>
    <x:row r="27">
      <x:c r="A27" t="str">
        <x:v>DEM-0024</x:v>
      </x:c>
      <x:c r="B27" t="str">
        <x:v>2026-06-01</x:v>
      </x:c>
      <x:c r="C27" t="str">
        <x:v>2026-06</x:v>
      </x:c>
      <x:c r="D27" t="str">
        <x:v>Minorista</x:v>
      </x:c>
      <x:c r="E27" t="str">
        <x:v>Cali</x:v>
      </x:c>
      <x:c r="F27" t="str">
        <x:v>Monitores</x:v>
      </x:c>
      <x:c r="G27" t="n">
        <x:v>6</x:v>
      </x:c>
      <x:c r="H27" s="20" t="n">
        <x:v>5922000</x:v>
      </x:c>
      <x:c r="I27" s="20" t="n">
        <x:v>4061000</x:v>
      </x:c>
      <x:c r="J27" s="20" t="n">
        <x:v>1861000</x:v>
      </x:c>
    </x:row>
    <x:row r="28">
      <x:c r="A28" t="str">
        <x:v>DEM-0025</x:v>
      </x:c>
      <x:c r="B28" t="str">
        <x:v>2026-07-18</x:v>
      </x:c>
      <x:c r="C28" t="str">
        <x:v>2026-07</x:v>
      </x:c>
      <x:c r="D28" t="str">
        <x:v>Minorista</x:v>
      </x:c>
      <x:c r="E28" t="str">
        <x:v>Medellín</x:v>
      </x:c>
      <x:c r="F28" t="str">
        <x:v>Accesorios</x:v>
      </x:c>
      <x:c r="G28" t="n">
        <x:v>8</x:v>
      </x:c>
      <x:c r="H28" s="20" t="n">
        <x:v>1848000</x:v>
      </x:c>
      <x:c r="I28" s="20" t="n">
        <x:v>1144000</x:v>
      </x:c>
      <x:c r="J28" s="20" t="n">
        <x:v>704000</x:v>
      </x:c>
    </x:row>
    <x:row r="29">
      <x:c r="A29" t="str">
        <x:v>DEM-0026</x:v>
      </x:c>
      <x:c r="B29" t="str">
        <x:v>2026-08-13</x:v>
      </x:c>
      <x:c r="C29" t="str">
        <x:v>2026-08</x:v>
      </x:c>
      <x:c r="D29" t="str">
        <x:v>Empresas</x:v>
      </x:c>
      <x:c r="E29" t="str">
        <x:v>Cali</x:v>
      </x:c>
      <x:c r="F29" t="str">
        <x:v>Accesorios</x:v>
      </x:c>
      <x:c r="G29" t="n">
        <x:v>7</x:v>
      </x:c>
      <x:c r="H29" s="20" t="n">
        <x:v>1417000</x:v>
      </x:c>
      <x:c r="I29" s="20" t="n">
        <x:v>1001000</x:v>
      </x:c>
      <x:c r="J29" s="20" t="n">
        <x:v>416000</x:v>
      </x:c>
    </x:row>
    <x:row r="30">
      <x:c r="A30" t="str">
        <x:v>DEM-0027</x:v>
      </x:c>
      <x:c r="B30" t="str">
        <x:v>2026-09-15</x:v>
      </x:c>
      <x:c r="C30" t="str">
        <x:v>2026-09</x:v>
      </x:c>
      <x:c r="D30" t="str">
        <x:v>Minorista</x:v>
      </x:c>
      <x:c r="E30" t="str">
        <x:v>Bogotá</x:v>
      </x:c>
      <x:c r="F30" t="str">
        <x:v>Monitores</x:v>
      </x:c>
      <x:c r="G30" t="n">
        <x:v>8</x:v>
      </x:c>
      <x:c r="H30" s="20" t="n">
        <x:v>7896000</x:v>
      </x:c>
      <x:c r="I30" s="20" t="n">
        <x:v>5414000</x:v>
      </x:c>
      <x:c r="J30" s="20" t="n">
        <x:v>2482000</x:v>
      </x:c>
    </x:row>
    <x:row r="31">
      <x:c r="A31" t="str">
        <x:v>DEM-0028</x:v>
      </x:c>
      <x:c r="B31" t="str">
        <x:v>2026-01-10</x:v>
      </x:c>
      <x:c r="C31" t="str">
        <x:v>2026-01</x:v>
      </x:c>
      <x:c r="D31" t="str">
        <x:v>Minorista</x:v>
      </x:c>
      <x:c r="E31" t="str">
        <x:v>Barranquilla</x:v>
      </x:c>
      <x:c r="F31" t="str">
        <x:v>Monitores</x:v>
      </x:c>
      <x:c r="G31" t="n">
        <x:v>1</x:v>
      </x:c>
      <x:c r="H31" s="20" t="n">
        <x:v>865000</x:v>
      </x:c>
      <x:c r="I31" s="20" t="n">
        <x:v>677000</x:v>
      </x:c>
      <x:c r="J31" s="20" t="n">
        <x:v>188000</x:v>
      </x:c>
    </x:row>
    <x:row r="32">
      <x:c r="A32" t="str">
        <x:v>DEM-0029</x:v>
      </x:c>
      <x:c r="B32" t="str">
        <x:v>2026-02-07</x:v>
      </x:c>
      <x:c r="C32" t="str">
        <x:v>2026-02</x:v>
      </x:c>
      <x:c r="D32" t="str">
        <x:v>Minorista</x:v>
      </x:c>
      <x:c r="E32" t="str">
        <x:v>Bogotá</x:v>
      </x:c>
      <x:c r="F32" t="str">
        <x:v>Impresoras</x:v>
      </x:c>
      <x:c r="G32" t="n">
        <x:v>1</x:v>
      </x:c>
      <x:c r="H32" s="20" t="n">
        <x:v>1150000</x:v>
      </x:c>
      <x:c r="I32" s="20" t="n">
        <x:v>925000</x:v>
      </x:c>
      <x:c r="J32" s="20" t="n">
        <x:v>225000</x:v>
      </x:c>
    </x:row>
    <x:row r="33">
      <x:c r="A33" t="str">
        <x:v>DEM-0030</x:v>
      </x:c>
      <x:c r="B33" t="str">
        <x:v>2026-03-04</x:v>
      </x:c>
      <x:c r="C33" t="str">
        <x:v>2026-03</x:v>
      </x:c>
      <x:c r="D33" t="str">
        <x:v>Minorista</x:v>
      </x:c>
      <x:c r="E33" t="str">
        <x:v>Barranquilla</x:v>
      </x:c>
      <x:c r="F33" t="str">
        <x:v>Portátiles</x:v>
      </x:c>
      <x:c r="G33" t="n">
        <x:v>8</x:v>
      </x:c>
      <x:c r="H33" s="20" t="n">
        <x:v>24624000</x:v>
      </x:c>
      <x:c r="I33" s="20" t="n">
        <x:v>17556000</x:v>
      </x:c>
      <x:c r="J33" s="20" t="n">
        <x:v>7068000</x:v>
      </x:c>
    </x:row>
    <x:row r="34">
      <x:c r="A34" t="str">
        <x:v>DEM-0031</x:v>
      </x:c>
      <x:c r="B34" t="str">
        <x:v>2026-04-15</x:v>
      </x:c>
      <x:c r="C34" t="str">
        <x:v>2026-04</x:v>
      </x:c>
      <x:c r="D34" t="str">
        <x:v>Empresas</x:v>
      </x:c>
      <x:c r="E34" t="str">
        <x:v>Bogotá</x:v>
      </x:c>
      <x:c r="F34" t="str">
        <x:v>Monitores</x:v>
      </x:c>
      <x:c r="G34" t="n">
        <x:v>8</x:v>
      </x:c>
      <x:c r="H34" s="20" t="n">
        <x:v>7144000</x:v>
      </x:c>
      <x:c r="I34" s="20" t="n">
        <x:v>5414000</x:v>
      </x:c>
      <x:c r="J34" s="20" t="n">
        <x:v>1730000</x:v>
      </x:c>
    </x:row>
    <x:row r="35">
      <x:c r="A35" t="str">
        <x:v>DEM-0032</x:v>
      </x:c>
      <x:c r="B35" t="str">
        <x:v>2026-05-06</x:v>
      </x:c>
      <x:c r="C35" t="str">
        <x:v>2026-05</x:v>
      </x:c>
      <x:c r="D35" t="str">
        <x:v>Minorista</x:v>
      </x:c>
      <x:c r="E35" t="str">
        <x:v>Bogotá</x:v>
      </x:c>
      <x:c r="F35" t="str">
        <x:v>Accesorios</x:v>
      </x:c>
      <x:c r="G35" t="n">
        <x:v>3</x:v>
      </x:c>
      <x:c r="H35" s="20" t="n">
        <x:v>713000</x:v>
      </x:c>
      <x:c r="I35" s="20" t="n">
        <x:v>429000</x:v>
      </x:c>
      <x:c r="J35" s="20" t="n">
        <x:v>284000</x:v>
      </x:c>
    </x:row>
    <x:row r="36">
      <x:c r="A36" t="str">
        <x:v>DEM-0033</x:v>
      </x:c>
      <x:c r="B36" t="str">
        <x:v>2026-06-13</x:v>
      </x:c>
      <x:c r="C36" t="str">
        <x:v>2026-06</x:v>
      </x:c>
      <x:c r="D36" t="str">
        <x:v>Empresas</x:v>
      </x:c>
      <x:c r="E36" t="str">
        <x:v>Barranquilla</x:v>
      </x:c>
      <x:c r="F36" t="str">
        <x:v>Accesorios</x:v>
      </x:c>
      <x:c r="G36" t="n">
        <x:v>4</x:v>
      </x:c>
      <x:c r="H36" s="20" t="n">
        <x:v>950000</x:v>
      </x:c>
      <x:c r="I36" s="20" t="n">
        <x:v>572000</x:v>
      </x:c>
      <x:c r="J36" s="20" t="n">
        <x:v>378000</x:v>
      </x:c>
    </x:row>
    <x:row r="37">
      <x:c r="A37" t="str">
        <x:v>DEM-0034</x:v>
      </x:c>
      <x:c r="B37" t="str">
        <x:v>2026-07-16</x:v>
      </x:c>
      <x:c r="C37" t="str">
        <x:v>2026-07</x:v>
      </x:c>
      <x:c r="D37" t="str">
        <x:v>Mayorista</x:v>
      </x:c>
      <x:c r="E37" t="str">
        <x:v>Medellín</x:v>
      </x:c>
      <x:c r="F37" t="str">
        <x:v>Impresoras</x:v>
      </x:c>
      <x:c r="G37" t="n">
        <x:v>8</x:v>
      </x:c>
      <x:c r="H37" s="20" t="n">
        <x:v>10500000</x:v>
      </x:c>
      <x:c r="I37" s="20" t="n">
        <x:v>7400000</x:v>
      </x:c>
      <x:c r="J37" s="20" t="n">
        <x:v>3100000</x:v>
      </x:c>
    </x:row>
    <x:row r="38">
      <x:c r="A38" t="str">
        <x:v>DEM-0035</x:v>
      </x:c>
      <x:c r="B38" t="str">
        <x:v>2026-08-03</x:v>
      </x:c>
      <x:c r="C38" t="str">
        <x:v>2026-08</x:v>
      </x:c>
      <x:c r="D38" t="str">
        <x:v>Mayorista</x:v>
      </x:c>
      <x:c r="E38" t="str">
        <x:v>Medellín</x:v>
      </x:c>
      <x:c r="F38" t="str">
        <x:v>Monitores</x:v>
      </x:c>
      <x:c r="G38" t="n">
        <x:v>14</x:v>
      </x:c>
      <x:c r="H38" s="20" t="n">
        <x:v>12107000</x:v>
      </x:c>
      <x:c r="I38" s="20" t="n">
        <x:v>9475000</x:v>
      </x:c>
      <x:c r="J38" s="20" t="n">
        <x:v>2632000</x:v>
      </x:c>
    </x:row>
    <x:row r="39">
      <x:c r="A39" t="str">
        <x:v>DEM-0036</x:v>
      </x:c>
      <x:c r="B39" t="str">
        <x:v>2026-09-15</x:v>
      </x:c>
      <x:c r="C39" t="str">
        <x:v>2026-09</x:v>
      </x:c>
      <x:c r="D39" t="str">
        <x:v>Minorista</x:v>
      </x:c>
      <x:c r="E39" t="str">
        <x:v>Medellín</x:v>
      </x:c>
      <x:c r="F39" t="str">
        <x:v>Impresoras</x:v>
      </x:c>
      <x:c r="G39" t="n">
        <x:v>8</x:v>
      </x:c>
      <x:c r="H39" s="20" t="n">
        <x:v>9500000</x:v>
      </x:c>
      <x:c r="I39" s="20" t="n">
        <x:v>7400000</x:v>
      </x:c>
      <x:c r="J39" s="20" t="n">
        <x:v>2100000</x:v>
      </x:c>
    </x:row>
    <x:row r="40">
      <x:c r="A40" t="str">
        <x:v>DEM-0037</x:v>
      </x:c>
      <x:c r="B40" t="str">
        <x:v>2026-01-06</x:v>
      </x:c>
      <x:c r="C40" t="str">
        <x:v>2026-01</x:v>
      </x:c>
      <x:c r="D40" t="str">
        <x:v>Minorista</x:v>
      </x:c>
      <x:c r="E40" t="str">
        <x:v>Cali</x:v>
      </x:c>
      <x:c r="F40" t="str">
        <x:v>Impresoras</x:v>
      </x:c>
      <x:c r="G40" t="n">
        <x:v>5</x:v>
      </x:c>
      <x:c r="H40" s="20" t="n">
        <x:v>6562000</x:v>
      </x:c>
      <x:c r="I40" s="20" t="n">
        <x:v>4625000</x:v>
      </x:c>
      <x:c r="J40" s="20" t="n">
        <x:v>1937000</x:v>
      </x:c>
    </x:row>
    <x:row r="41">
      <x:c r="A41" t="str">
        <x:v>DEM-0038</x:v>
      </x:c>
      <x:c r="B41" t="str">
        <x:v>2026-02-19</x:v>
      </x:c>
      <x:c r="C41" t="str">
        <x:v>2026-02</x:v>
      </x:c>
      <x:c r="D41" t="str">
        <x:v>Minorista</x:v>
      </x:c>
      <x:c r="E41" t="str">
        <x:v>Barranquilla</x:v>
      </x:c>
      <x:c r="F41" t="str">
        <x:v>Portátiles</x:v>
      </x:c>
      <x:c r="G41" t="n">
        <x:v>2</x:v>
      </x:c>
      <x:c r="H41" s="20" t="n">
        <x:v>5700000</x:v>
      </x:c>
      <x:c r="I41" s="20" t="n">
        <x:v>4389000</x:v>
      </x:c>
      <x:c r="J41" s="20" t="n">
        <x:v>1311000</x:v>
      </x:c>
    </x:row>
    <x:row r="42">
      <x:c r="A42" t="str">
        <x:v>DEM-0039</x:v>
      </x:c>
      <x:c r="B42" t="str">
        <x:v>2026-03-17</x:v>
      </x:c>
      <x:c r="C42" t="str">
        <x:v>2026-03</x:v>
      </x:c>
      <x:c r="D42" t="str">
        <x:v>Minorista</x:v>
      </x:c>
      <x:c r="E42" t="str">
        <x:v>Medellín</x:v>
      </x:c>
      <x:c r="F42" t="str">
        <x:v>Monitores</x:v>
      </x:c>
      <x:c r="G42" t="n">
        <x:v>2</x:v>
      </x:c>
      <x:c r="H42" s="20" t="n">
        <x:v>1880000</x:v>
      </x:c>
      <x:c r="I42" s="20" t="n">
        <x:v>1354000</x:v>
      </x:c>
      <x:c r="J42" s="20" t="n">
        <x:v>526000</x:v>
      </x:c>
    </x:row>
    <x:row r="43">
      <x:c r="A43" t="str">
        <x:v>DEM-0040</x:v>
      </x:c>
      <x:c r="B43" t="str">
        <x:v>2026-04-18</x:v>
      </x:c>
      <x:c r="C43" t="str">
        <x:v>2026-04</x:v>
      </x:c>
      <x:c r="D43" t="str">
        <x:v>Minorista</x:v>
      </x:c>
      <x:c r="E43" t="str">
        <x:v>Medellín</x:v>
      </x:c>
      <x:c r="F43" t="str">
        <x:v>Portátiles</x:v>
      </x:c>
      <x:c r="G43" t="n">
        <x:v>6</x:v>
      </x:c>
      <x:c r="H43" s="20" t="n">
        <x:v>15732000</x:v>
      </x:c>
      <x:c r="I43" s="20" t="n">
        <x:v>13167000</x:v>
      </x:c>
      <x:c r="J43" s="20" t="n">
        <x:v>2565000</x:v>
      </x:c>
    </x:row>
    <x:row r="44">
      <x:c r="A44" t="str">
        <x:v>DEM-0041</x:v>
      </x:c>
      <x:c r="B44" t="str">
        <x:v>2026-05-09</x:v>
      </x:c>
      <x:c r="C44" t="str">
        <x:v>2026-05</x:v>
      </x:c>
      <x:c r="D44" t="str">
        <x:v>Minorista</x:v>
      </x:c>
      <x:c r="E44" t="str">
        <x:v>Barranquilla</x:v>
      </x:c>
      <x:c r="F44" t="str">
        <x:v>Monitores</x:v>
      </x:c>
      <x:c r="G44" t="n">
        <x:v>8</x:v>
      </x:c>
      <x:c r="H44" s="20" t="n">
        <x:v>7520000</x:v>
      </x:c>
      <x:c r="I44" s="20" t="n">
        <x:v>5414000</x:v>
      </x:c>
      <x:c r="J44" s="20" t="n">
        <x:v>2106000</x:v>
      </x:c>
    </x:row>
    <x:row r="45">
      <x:c r="A45" t="str">
        <x:v>DEM-0042</x:v>
      </x:c>
      <x:c r="B45" t="str">
        <x:v>2026-06-25</x:v>
      </x:c>
      <x:c r="C45" t="str">
        <x:v>2026-06</x:v>
      </x:c>
      <x:c r="D45" t="str">
        <x:v>Empresas</x:v>
      </x:c>
      <x:c r="E45" t="str">
        <x:v>Barranquilla</x:v>
      </x:c>
      <x:c r="F45" t="str">
        <x:v>Impresoras</x:v>
      </x:c>
      <x:c r="G45" t="n">
        <x:v>5</x:v>
      </x:c>
      <x:c r="H45" s="20" t="n">
        <x:v>6750000</x:v>
      </x:c>
      <x:c r="I45" s="20" t="n">
        <x:v>4625000</x:v>
      </x:c>
      <x:c r="J45" s="20" t="n">
        <x:v>2125000</x:v>
      </x:c>
    </x:row>
    <x:row r="46">
      <x:c r="A46" t="str">
        <x:v>DEM-0043</x:v>
      </x:c>
      <x:c r="B46" t="str">
        <x:v>2026-07-05</x:v>
      </x:c>
      <x:c r="C46" t="str">
        <x:v>2026-07</x:v>
      </x:c>
      <x:c r="D46" t="str">
        <x:v>Empresas</x:v>
      </x:c>
      <x:c r="E46" t="str">
        <x:v>Cali</x:v>
      </x:c>
      <x:c r="F46" t="str">
        <x:v>Monitores</x:v>
      </x:c>
      <x:c r="G46" t="n">
        <x:v>8</x:v>
      </x:c>
      <x:c r="H46" s="20" t="n">
        <x:v>7520000</x:v>
      </x:c>
      <x:c r="I46" s="20" t="n">
        <x:v>5414000</x:v>
      </x:c>
      <x:c r="J46" s="20" t="n">
        <x:v>2106000</x:v>
      </x:c>
    </x:row>
    <x:row r="47">
      <x:c r="A47" t="str">
        <x:v>DEM-0044</x:v>
      </x:c>
      <x:c r="B47" t="str">
        <x:v>2026-08-19</x:v>
      </x:c>
      <x:c r="C47" t="str">
        <x:v>2026-08</x:v>
      </x:c>
      <x:c r="D47" t="str">
        <x:v>Empresas</x:v>
      </x:c>
      <x:c r="E47" t="str">
        <x:v>Bogotá</x:v>
      </x:c>
      <x:c r="F47" t="str">
        <x:v>Impresoras</x:v>
      </x:c>
      <x:c r="G47" t="n">
        <x:v>7</x:v>
      </x:c>
      <x:c r="H47" s="20" t="n">
        <x:v>8750000</x:v>
      </x:c>
      <x:c r="I47" s="20" t="n">
        <x:v>6475000</x:v>
      </x:c>
      <x:c r="J47" s="20" t="n">
        <x:v>2275000</x:v>
      </x:c>
    </x:row>
    <x:row r="48">
      <x:c r="A48" t="str">
        <x:v>DEM-0045</x:v>
      </x:c>
      <x:c r="B48" t="str">
        <x:v>2026-09-10</x:v>
      </x:c>
      <x:c r="C48" t="str">
        <x:v>2026-09</x:v>
      </x:c>
      <x:c r="D48" t="str">
        <x:v>Empresas</x:v>
      </x:c>
      <x:c r="E48" t="str">
        <x:v>Medellín</x:v>
      </x:c>
      <x:c r="F48" t="str">
        <x:v>Impresoras</x:v>
      </x:c>
      <x:c r="G48" t="n">
        <x:v>7</x:v>
      </x:c>
      <x:c r="H48" s="20" t="n">
        <x:v>9450000</x:v>
      </x:c>
      <x:c r="I48" s="20" t="n">
        <x:v>6475000</x:v>
      </x:c>
      <x:c r="J48" s="20" t="n">
        <x:v>2975000</x:v>
      </x:c>
    </x:row>
    <x:row r="49">
      <x:c r="A49" t="str">
        <x:v>DEM-0046</x:v>
      </x:c>
      <x:c r="B49" t="str">
        <x:v>2026-01-06</x:v>
      </x:c>
      <x:c r="C49" t="str">
        <x:v>2026-01</x:v>
      </x:c>
      <x:c r="D49" t="str">
        <x:v>Empresas</x:v>
      </x:c>
      <x:c r="E49" t="str">
        <x:v>Medellín</x:v>
      </x:c>
      <x:c r="F49" t="str">
        <x:v>Impresoras</x:v>
      </x:c>
      <x:c r="G49" t="n">
        <x:v>3</x:v>
      </x:c>
      <x:c r="H49" s="20" t="n">
        <x:v>3562000</x:v>
      </x:c>
      <x:c r="I49" s="20" t="n">
        <x:v>2775000</x:v>
      </x:c>
      <x:c r="J49" s="20" t="n">
        <x:v>787000</x:v>
      </x:c>
    </x:row>
    <x:row r="50">
      <x:c r="A50" t="str">
        <x:v>DEM-0047</x:v>
      </x:c>
      <x:c r="B50" t="str">
        <x:v>2026-02-15</x:v>
      </x:c>
      <x:c r="C50" t="str">
        <x:v>2026-02</x:v>
      </x:c>
      <x:c r="D50" t="str">
        <x:v>Empresas</x:v>
      </x:c>
      <x:c r="E50" t="str">
        <x:v>Cali</x:v>
      </x:c>
      <x:c r="F50" t="str">
        <x:v>Monitores</x:v>
      </x:c>
      <x:c r="G50" t="n">
        <x:v>6</x:v>
      </x:c>
      <x:c r="H50" s="20" t="n">
        <x:v>5189000</x:v>
      </x:c>
      <x:c r="I50" s="20" t="n">
        <x:v>4061000</x:v>
      </x:c>
      <x:c r="J50" s="20" t="n">
        <x:v>1128000</x:v>
      </x:c>
    </x:row>
    <x:row r="51">
      <x:c r="A51" t="str">
        <x:v>DEM-0048</x:v>
      </x:c>
      <x:c r="B51" t="str">
        <x:v>2026-03-01</x:v>
      </x:c>
      <x:c r="C51" t="str">
        <x:v>2026-03</x:v>
      </x:c>
      <x:c r="D51" t="str">
        <x:v>Empresas</x:v>
      </x:c>
      <x:c r="E51" t="str">
        <x:v>Bogotá</x:v>
      </x:c>
      <x:c r="F51" t="str">
        <x:v>Accesorios</x:v>
      </x:c>
      <x:c r="G51" t="n">
        <x:v>3</x:v>
      </x:c>
      <x:c r="H51" s="20" t="n">
        <x:v>607000</x:v>
      </x:c>
      <x:c r="I51" s="20" t="n">
        <x:v>429000</x:v>
      </x:c>
      <x:c r="J51" s="20" t="n">
        <x:v>178000</x:v>
      </x:c>
    </x:row>
    <x:row r="52">
      <x:c r="A52" t="str">
        <x:v>DEM-0049</x:v>
      </x:c>
      <x:c r="B52" t="str">
        <x:v>2026-04-18</x:v>
      </x:c>
      <x:c r="C52" t="str">
        <x:v>2026-04</x:v>
      </x:c>
      <x:c r="D52" t="str">
        <x:v>Empresas</x:v>
      </x:c>
      <x:c r="E52" t="str">
        <x:v>Bogotá</x:v>
      </x:c>
      <x:c r="F52" t="str">
        <x:v>Monitores</x:v>
      </x:c>
      <x:c r="G52" t="n">
        <x:v>3</x:v>
      </x:c>
      <x:c r="H52" s="20" t="n">
        <x:v>2820000</x:v>
      </x:c>
      <x:c r="I52" s="20" t="n">
        <x:v>2030000</x:v>
      </x:c>
      <x:c r="J52" s="20" t="n">
        <x:v>790000</x:v>
      </x:c>
    </x:row>
    <x:row r="53">
      <x:c r="A53" t="str">
        <x:v>DEM-0050</x:v>
      </x:c>
      <x:c r="B53" t="str">
        <x:v>2026-05-24</x:v>
      </x:c>
      <x:c r="C53" t="str">
        <x:v>2026-05</x:v>
      </x:c>
      <x:c r="D53" t="str">
        <x:v>Minorista</x:v>
      </x:c>
      <x:c r="E53" t="str">
        <x:v>Barranquilla</x:v>
      </x:c>
      <x:c r="F53" t="str">
        <x:v>Accesorios</x:v>
      </x:c>
      <x:c r="G53" t="n">
        <x:v>4</x:v>
      </x:c>
      <x:c r="H53" s="20" t="n">
        <x:v>924000</x:v>
      </x:c>
      <x:c r="I53" s="20" t="n">
        <x:v>572000</x:v>
      </x:c>
      <x:c r="J53" s="20" t="n">
        <x:v>352000</x:v>
      </x:c>
    </x:row>
    <x:row r="54">
      <x:c r="A54" t="str">
        <x:v>DEM-0051</x:v>
      </x:c>
      <x:c r="B54" t="str">
        <x:v>2026-06-23</x:v>
      </x:c>
      <x:c r="C54" t="str">
        <x:v>2026-06</x:v>
      </x:c>
      <x:c r="D54" t="str">
        <x:v>Minorista</x:v>
      </x:c>
      <x:c r="E54" t="str">
        <x:v>Bogotá</x:v>
      </x:c>
      <x:c r="F54" t="str">
        <x:v>Monitores</x:v>
      </x:c>
      <x:c r="G54" t="n">
        <x:v>3</x:v>
      </x:c>
      <x:c r="H54" s="20" t="n">
        <x:v>3046000</x:v>
      </x:c>
      <x:c r="I54" s="20" t="n">
        <x:v>2030000</x:v>
      </x:c>
      <x:c r="J54" s="20" t="n">
        <x:v>1016000</x:v>
      </x:c>
    </x:row>
    <x:row r="55">
      <x:c r="A55" t="str">
        <x:v>DEM-0052</x:v>
      </x:c>
      <x:c r="B55" t="str">
        <x:v>2026-07-04</x:v>
      </x:c>
      <x:c r="C55" t="str">
        <x:v>2026-07</x:v>
      </x:c>
      <x:c r="D55" t="str">
        <x:v>Mayorista</x:v>
      </x:c>
      <x:c r="E55" t="str">
        <x:v>Cali</x:v>
      </x:c>
      <x:c r="F55" t="str">
        <x:v>Portátiles</x:v>
      </x:c>
      <x:c r="G55" t="n">
        <x:v>14</x:v>
      </x:c>
      <x:c r="H55" s="20" t="n">
        <x:v>43092000</x:v>
      </x:c>
      <x:c r="I55" s="20" t="n">
        <x:v>30723000</x:v>
      </x:c>
      <x:c r="J55" s="20" t="n">
        <x:v>12369000</x:v>
      </x:c>
    </x:row>
    <x:row r="56">
      <x:c r="A56" t="str">
        <x:v>DEM-0053</x:v>
      </x:c>
      <x:c r="B56" t="str">
        <x:v>2026-08-13</x:v>
      </x:c>
      <x:c r="C56" t="str">
        <x:v>2026-08</x:v>
      </x:c>
      <x:c r="D56" t="str">
        <x:v>Empresas</x:v>
      </x:c>
      <x:c r="E56" t="str">
        <x:v>Bogotá</x:v>
      </x:c>
      <x:c r="F56" t="str">
        <x:v>Portátiles</x:v>
      </x:c>
      <x:c r="G56" t="n">
        <x:v>7</x:v>
      </x:c>
      <x:c r="H56" s="20" t="n">
        <x:v>18354000</x:v>
      </x:c>
      <x:c r="I56" s="20" t="n">
        <x:v>15362000</x:v>
      </x:c>
      <x:c r="J56" s="20" t="n">
        <x:v>2992000</x:v>
      </x:c>
    </x:row>
    <x:row r="57">
      <x:c r="A57" t="str">
        <x:v>DEM-0054</x:v>
      </x:c>
      <x:c r="B57" t="str">
        <x:v>2026-09-16</x:v>
      </x:c>
      <x:c r="C57" t="str">
        <x:v>2026-09</x:v>
      </x:c>
      <x:c r="D57" t="str">
        <x:v>Empresas</x:v>
      </x:c>
      <x:c r="E57" t="str">
        <x:v>Cali</x:v>
      </x:c>
      <x:c r="F57" t="str">
        <x:v>Portátiles</x:v>
      </x:c>
      <x:c r="G57" t="n">
        <x:v>5</x:v>
      </x:c>
      <x:c r="H57" s="20" t="n">
        <x:v>14250000</x:v>
      </x:c>
      <x:c r="I57" s="20" t="n">
        <x:v>10972000</x:v>
      </x:c>
      <x:c r="J57" s="20" t="n">
        <x:v>3278000</x:v>
      </x:c>
    </x:row>
    <x:row r="58">
      <x:c r="A58" t="str">
        <x:v>DEM-0055</x:v>
      </x:c>
      <x:c r="B58" t="str">
        <x:v>2026-01-22</x:v>
      </x:c>
      <x:c r="C58" t="str">
        <x:v>2026-01</x:v>
      </x:c>
      <x:c r="D58" t="str">
        <x:v>Empresas</x:v>
      </x:c>
      <x:c r="E58" t="str">
        <x:v>Medellín</x:v>
      </x:c>
      <x:c r="F58" t="str">
        <x:v>Portátiles</x:v>
      </x:c>
      <x:c r="G58" t="n">
        <x:v>1</x:v>
      </x:c>
      <x:c r="H58" s="20" t="n">
        <x:v>2708000</x:v>
      </x:c>
      <x:c r="I58" s="20" t="n">
        <x:v>2194000</x:v>
      </x:c>
      <x:c r="J58" s="20" t="n">
        <x:v>514000</x:v>
      </x:c>
    </x:row>
    <x:row r="59">
      <x:c r="A59" t="str">
        <x:v>DEM-0056</x:v>
      </x:c>
      <x:c r="B59" t="str">
        <x:v>2026-02-12</x:v>
      </x:c>
      <x:c r="C59" t="str">
        <x:v>2026-02</x:v>
      </x:c>
      <x:c r="D59" t="str">
        <x:v>Empresas</x:v>
      </x:c>
      <x:c r="E59" t="str">
        <x:v>Cali</x:v>
      </x:c>
      <x:c r="F59" t="str">
        <x:v>Accesorios</x:v>
      </x:c>
      <x:c r="G59" t="n">
        <x:v>4</x:v>
      </x:c>
      <x:c r="H59" s="20" t="n">
        <x:v>836000</x:v>
      </x:c>
      <x:c r="I59" s="20" t="n">
        <x:v>572000</x:v>
      </x:c>
      <x:c r="J59" s="20" t="n">
        <x:v>264000</x:v>
      </x:c>
    </x:row>
    <x:row r="60">
      <x:c r="A60" t="str">
        <x:v>DEM-0057</x:v>
      </x:c>
      <x:c r="B60" t="str">
        <x:v>2026-03-06</x:v>
      </x:c>
      <x:c r="C60" t="str">
        <x:v>2026-03</x:v>
      </x:c>
      <x:c r="D60" t="str">
        <x:v>Mayorista</x:v>
      </x:c>
      <x:c r="E60" t="str">
        <x:v>Cali</x:v>
      </x:c>
      <x:c r="F60" t="str">
        <x:v>Portátiles</x:v>
      </x:c>
      <x:c r="G60" t="n">
        <x:v>6</x:v>
      </x:c>
      <x:c r="H60" s="20" t="n">
        <x:v>18468000</x:v>
      </x:c>
      <x:c r="I60" s="20" t="n">
        <x:v>13167000</x:v>
      </x:c>
      <x:c r="J60" s="20" t="n">
        <x:v>5301000</x:v>
      </x:c>
    </x:row>
    <x:row r="61">
      <x:c r="A61" t="str">
        <x:v>DEM-0058</x:v>
      </x:c>
      <x:c r="B61" t="str">
        <x:v>2026-04-19</x:v>
      </x:c>
      <x:c r="C61" t="str">
        <x:v>2026-04</x:v>
      </x:c>
      <x:c r="D61" t="str">
        <x:v>Minorista</x:v>
      </x:c>
      <x:c r="E61" t="str">
        <x:v>Barranquilla</x:v>
      </x:c>
      <x:c r="F61" t="str">
        <x:v>Portátiles</x:v>
      </x:c>
      <x:c r="G61" t="n">
        <x:v>7</x:v>
      </x:c>
      <x:c r="H61" s="20" t="n">
        <x:v>20948000</x:v>
      </x:c>
      <x:c r="I61" s="20" t="n">
        <x:v>15362000</x:v>
      </x:c>
      <x:c r="J61" s="20" t="n">
        <x:v>5586000</x:v>
      </x:c>
    </x:row>
    <x:row r="62">
      <x:c r="A62" t="str">
        <x:v>DEM-0059</x:v>
      </x:c>
      <x:c r="B62" t="str">
        <x:v>2026-05-21</x:v>
      </x:c>
      <x:c r="C62" t="str">
        <x:v>2026-05</x:v>
      </x:c>
      <x:c r="D62" t="str">
        <x:v>Minorista</x:v>
      </x:c>
      <x:c r="E62" t="str">
        <x:v>Bogotá</x:v>
      </x:c>
      <x:c r="F62" t="str">
        <x:v>Accesorios</x:v>
      </x:c>
      <x:c r="G62" t="n">
        <x:v>3</x:v>
      </x:c>
      <x:c r="H62" s="20" t="n">
        <x:v>693000</x:v>
      </x:c>
      <x:c r="I62" s="20" t="n">
        <x:v>429000</x:v>
      </x:c>
      <x:c r="J62" s="20" t="n">
        <x:v>264000</x:v>
      </x:c>
    </x:row>
    <x:row r="63">
      <x:c r="A63" t="str">
        <x:v>DEM-0060</x:v>
      </x:c>
      <x:c r="B63" t="str">
        <x:v>2026-06-08</x:v>
      </x:c>
      <x:c r="C63" t="str">
        <x:v>2026-06</x:v>
      </x:c>
      <x:c r="D63" t="str">
        <x:v>Minorista</x:v>
      </x:c>
      <x:c r="E63" t="str">
        <x:v>Barranquilla</x:v>
      </x:c>
      <x:c r="F63" t="str">
        <x:v>Accesorios</x:v>
      </x:c>
      <x:c r="G63" t="n">
        <x:v>4</x:v>
      </x:c>
      <x:c r="H63" s="20" t="n">
        <x:v>836000</x:v>
      </x:c>
      <x:c r="I63" s="20" t="n">
        <x:v>572000</x:v>
      </x:c>
      <x:c r="J63" s="20" t="n">
        <x:v>264000</x:v>
      </x:c>
    </x:row>
    <x:row r="64">
      <x:c r="A64" t="str">
        <x:v>DEM-0061</x:v>
      </x:c>
      <x:c r="B64" t="str">
        <x:v>2026-07-10</x:v>
      </x:c>
      <x:c r="C64" t="str">
        <x:v>2026-07</x:v>
      </x:c>
      <x:c r="D64" t="str">
        <x:v>Empresas</x:v>
      </x:c>
      <x:c r="E64" t="str">
        <x:v>Medellín</x:v>
      </x:c>
      <x:c r="F64" t="str">
        <x:v>Accesorios</x:v>
      </x:c>
      <x:c r="G64" t="n">
        <x:v>6</x:v>
      </x:c>
      <x:c r="H64" s="20" t="n">
        <x:v>1426000</x:v>
      </x:c>
      <x:c r="I64" s="20" t="n">
        <x:v>858000</x:v>
      </x:c>
      <x:c r="J64" s="20" t="n">
        <x:v>568000</x:v>
      </x:c>
    </x:row>
    <x:row r="65">
      <x:c r="A65" t="str">
        <x:v>DEM-0062</x:v>
      </x:c>
      <x:c r="B65" t="str">
        <x:v>2026-08-13</x:v>
      </x:c>
      <x:c r="C65" t="str">
        <x:v>2026-08</x:v>
      </x:c>
      <x:c r="D65" t="str">
        <x:v>Minorista</x:v>
      </x:c>
      <x:c r="E65" t="str">
        <x:v>Medellín</x:v>
      </x:c>
      <x:c r="F65" t="str">
        <x:v>Impresoras</x:v>
      </x:c>
      <x:c r="G65" t="n">
        <x:v>3</x:v>
      </x:c>
      <x:c r="H65" s="20" t="n">
        <x:v>3562000</x:v>
      </x:c>
      <x:c r="I65" s="20" t="n">
        <x:v>2775000</x:v>
      </x:c>
      <x:c r="J65" s="20" t="n">
        <x:v>787000</x:v>
      </x:c>
    </x:row>
    <x:row r="66">
      <x:c r="A66" t="str">
        <x:v>DEM-0063</x:v>
      </x:c>
      <x:c r="B66" t="str">
        <x:v>2026-09-04</x:v>
      </x:c>
      <x:c r="C66" t="str">
        <x:v>2026-09</x:v>
      </x:c>
      <x:c r="D66" t="str">
        <x:v>Minorista</x:v>
      </x:c>
      <x:c r="E66" t="str">
        <x:v>Barranquilla</x:v>
      </x:c>
      <x:c r="F66" t="str">
        <x:v>Accesorios</x:v>
      </x:c>
      <x:c r="G66" t="n">
        <x:v>1</x:v>
      </x:c>
      <x:c r="H66" s="20" t="n">
        <x:v>238000</x:v>
      </x:c>
      <x:c r="I66" s="20" t="n">
        <x:v>143000</x:v>
      </x:c>
      <x:c r="J66" s="20" t="n">
        <x:v>95000</x:v>
      </x:c>
    </x:row>
    <x:row r="67">
      <x:c r="A67" t="str">
        <x:v>DEM-0064</x:v>
      </x:c>
      <x:c r="B67" t="str">
        <x:v>2026-01-25</x:v>
      </x:c>
      <x:c r="C67" t="str">
        <x:v>2026-01</x:v>
      </x:c>
      <x:c r="D67" t="str">
        <x:v>Minorista</x:v>
      </x:c>
      <x:c r="E67" t="str">
        <x:v>Cali</x:v>
      </x:c>
      <x:c r="F67" t="str">
        <x:v>Impresoras</x:v>
      </x:c>
      <x:c r="G67" t="n">
        <x:v>5</x:v>
      </x:c>
      <x:c r="H67" s="20" t="n">
        <x:v>6562000</x:v>
      </x:c>
      <x:c r="I67" s="20" t="n">
        <x:v>4625000</x:v>
      </x:c>
      <x:c r="J67" s="20" t="n">
        <x:v>1937000</x:v>
      </x:c>
    </x:row>
    <x:row r="68">
      <x:c r="A68" t="str">
        <x:v>DEM-0065</x:v>
      </x:c>
      <x:c r="B68" t="str">
        <x:v>2026-02-21</x:v>
      </x:c>
      <x:c r="C68" t="str">
        <x:v>2026-02</x:v>
      </x:c>
      <x:c r="D68" t="str">
        <x:v>Minorista</x:v>
      </x:c>
      <x:c r="E68" t="str">
        <x:v>Cali</x:v>
      </x:c>
      <x:c r="F68" t="str">
        <x:v>Portátiles</x:v>
      </x:c>
      <x:c r="G68" t="n">
        <x:v>4</x:v>
      </x:c>
      <x:c r="H68" s="20" t="n">
        <x:v>10488000</x:v>
      </x:c>
      <x:c r="I68" s="20" t="n">
        <x:v>8778000</x:v>
      </x:c>
      <x:c r="J68" s="20" t="n">
        <x:v>1710000</x:v>
      </x:c>
    </x:row>
    <x:row r="69">
      <x:c r="A69" t="str">
        <x:v>DEM-0066</x:v>
      </x:c>
      <x:c r="B69" t="str">
        <x:v>2026-03-06</x:v>
      </x:c>
      <x:c r="C69" t="str">
        <x:v>2026-03</x:v>
      </x:c>
      <x:c r="D69" t="str">
        <x:v>Mayorista</x:v>
      </x:c>
      <x:c r="E69" t="str">
        <x:v>Medellín</x:v>
      </x:c>
      <x:c r="F69" t="str">
        <x:v>Portátiles</x:v>
      </x:c>
      <x:c r="G69" t="n">
        <x:v>4</x:v>
      </x:c>
      <x:c r="H69" s="20" t="n">
        <x:v>11970000</x:v>
      </x:c>
      <x:c r="I69" s="20" t="n">
        <x:v>8778000</x:v>
      </x:c>
      <x:c r="J69" s="20" t="n">
        <x:v>3192000</x:v>
      </x:c>
    </x:row>
    <x:row r="70">
      <x:c r="A70" t="str">
        <x:v>DEM-0067</x:v>
      </x:c>
      <x:c r="B70" t="str">
        <x:v>2026-04-23</x:v>
      </x:c>
      <x:c r="C70" t="str">
        <x:v>2026-04</x:v>
      </x:c>
      <x:c r="D70" t="str">
        <x:v>Mayorista</x:v>
      </x:c>
      <x:c r="E70" t="str">
        <x:v>Medellín</x:v>
      </x:c>
      <x:c r="F70" t="str">
        <x:v>Monitores</x:v>
      </x:c>
      <x:c r="G70" t="n">
        <x:v>8</x:v>
      </x:c>
      <x:c r="H70" s="20" t="n">
        <x:v>7520000</x:v>
      </x:c>
      <x:c r="I70" s="20" t="n">
        <x:v>5414000</x:v>
      </x:c>
      <x:c r="J70" s="20" t="n">
        <x:v>2106000</x:v>
      </x:c>
    </x:row>
    <x:row r="71">
      <x:c r="A71" t="str">
        <x:v>DEM-0068</x:v>
      </x:c>
      <x:c r="B71" t="str">
        <x:v>2026-05-06</x:v>
      </x:c>
      <x:c r="C71" t="str">
        <x:v>2026-05</x:v>
      </x:c>
      <x:c r="D71" t="str">
        <x:v>Mayorista</x:v>
      </x:c>
      <x:c r="E71" t="str">
        <x:v>Barranquilla</x:v>
      </x:c>
      <x:c r="F71" t="str">
        <x:v>Portátiles</x:v>
      </x:c>
      <x:c r="G71" t="n">
        <x:v>4</x:v>
      </x:c>
      <x:c r="H71" s="20" t="n">
        <x:v>11400000</x:v>
      </x:c>
      <x:c r="I71" s="20" t="n">
        <x:v>8778000</x:v>
      </x:c>
      <x:c r="J71" s="20" t="n">
        <x:v>2622000</x:v>
      </x:c>
    </x:row>
    <x:row r="72">
      <x:c r="A72" t="str">
        <x:v>DEM-0069</x:v>
      </x:c>
      <x:c r="B72" t="str">
        <x:v>2026-06-08</x:v>
      </x:c>
      <x:c r="C72" t="str">
        <x:v>2026-06</x:v>
      </x:c>
      <x:c r="D72" t="str">
        <x:v>Empresas</x:v>
      </x:c>
      <x:c r="E72" t="str">
        <x:v>Cali</x:v>
      </x:c>
      <x:c r="F72" t="str">
        <x:v>Accesorios</x:v>
      </x:c>
      <x:c r="G72" t="n">
        <x:v>3</x:v>
      </x:c>
      <x:c r="H72" s="20" t="n">
        <x:v>660000</x:v>
      </x:c>
      <x:c r="I72" s="20" t="n">
        <x:v>429000</x:v>
      </x:c>
      <x:c r="J72" s="20" t="n">
        <x:v>231000</x:v>
      </x:c>
    </x:row>
    <x:row r="73">
      <x:c r="A73" t="str">
        <x:v>DEM-0070</x:v>
      </x:c>
      <x:c r="B73" t="str">
        <x:v>2026-07-02</x:v>
      </x:c>
      <x:c r="C73" t="str">
        <x:v>2026-07</x:v>
      </x:c>
      <x:c r="D73" t="str">
        <x:v>Mayorista</x:v>
      </x:c>
      <x:c r="E73" t="str">
        <x:v>Medellín</x:v>
      </x:c>
      <x:c r="F73" t="str">
        <x:v>Accesorios</x:v>
      </x:c>
      <x:c r="G73" t="n">
        <x:v>16</x:v>
      </x:c>
      <x:c r="H73" s="20" t="n">
        <x:v>3802000</x:v>
      </x:c>
      <x:c r="I73" s="20" t="n">
        <x:v>2288000</x:v>
      </x:c>
      <x:c r="J73" s="20" t="n">
        <x:v>1514000</x:v>
      </x:c>
    </x:row>
    <x:row r="74">
      <x:c r="A74" t="str">
        <x:v>DEM-0071</x:v>
      </x:c>
      <x:c r="B74" t="str">
        <x:v>2026-08-04</x:v>
      </x:c>
      <x:c r="C74" t="str">
        <x:v>2026-08</x:v>
      </x:c>
      <x:c r="D74" t="str">
        <x:v>Empresas</x:v>
      </x:c>
      <x:c r="E74" t="str">
        <x:v>Medellín</x:v>
      </x:c>
      <x:c r="F74" t="str">
        <x:v>Accesorios</x:v>
      </x:c>
      <x:c r="G74" t="n">
        <x:v>6</x:v>
      </x:c>
      <x:c r="H74" s="20" t="n">
        <x:v>1386000</x:v>
      </x:c>
      <x:c r="I74" s="20" t="n">
        <x:v>858000</x:v>
      </x:c>
      <x:c r="J74" s="20" t="n">
        <x:v>528000</x:v>
      </x:c>
    </x:row>
    <x:row r="75">
      <x:c r="A75" t="str">
        <x:v>DEM-0072</x:v>
      </x:c>
      <x:c r="B75" t="str">
        <x:v>2026-09-24</x:v>
      </x:c>
      <x:c r="C75" t="str">
        <x:v>2026-09</x:v>
      </x:c>
      <x:c r="D75" t="str">
        <x:v>Empresas</x:v>
      </x:c>
      <x:c r="E75" t="str">
        <x:v>Bogotá</x:v>
      </x:c>
      <x:c r="F75" t="str">
        <x:v>Portátiles</x:v>
      </x:c>
      <x:c r="G75" t="n">
        <x:v>4</x:v>
      </x:c>
      <x:c r="H75" s="20" t="n">
        <x:v>11970000</x:v>
      </x:c>
      <x:c r="I75" s="20" t="n">
        <x:v>8778000</x:v>
      </x:c>
      <x:c r="J75" s="20" t="n">
        <x:v>3192000</x:v>
      </x:c>
    </x:row>
    <x:row r="76">
      <x:c r="A76" t="str">
        <x:v>DEM-0073</x:v>
      </x:c>
      <x:c r="B76" t="str">
        <x:v>2026-01-18</x:v>
      </x:c>
      <x:c r="C76" t="str">
        <x:v>2026-01</x:v>
      </x:c>
      <x:c r="D76" t="str">
        <x:v>Mayorista</x:v>
      </x:c>
      <x:c r="E76" t="str">
        <x:v>Barranquilla</x:v>
      </x:c>
      <x:c r="F76" t="str">
        <x:v>Accesorios</x:v>
      </x:c>
      <x:c r="G76" t="n">
        <x:v>12</x:v>
      </x:c>
      <x:c r="H76" s="20" t="n">
        <x:v>2508000</x:v>
      </x:c>
      <x:c r="I76" s="20" t="n">
        <x:v>1716000</x:v>
      </x:c>
      <x:c r="J76" s="20" t="n">
        <x:v>792000</x:v>
      </x:c>
    </x:row>
    <x:row r="77">
      <x:c r="A77" t="str">
        <x:v>DEM-0074</x:v>
      </x:c>
      <x:c r="B77" t="str">
        <x:v>2026-02-24</x:v>
      </x:c>
      <x:c r="C77" t="str">
        <x:v>2026-02</x:v>
      </x:c>
      <x:c r="D77" t="str">
        <x:v>Minorista</x:v>
      </x:c>
      <x:c r="E77" t="str">
        <x:v>Medellín</x:v>
      </x:c>
      <x:c r="F77" t="str">
        <x:v>Accesorios</x:v>
      </x:c>
      <x:c r="G77" t="n">
        <x:v>6</x:v>
      </x:c>
      <x:c r="H77" s="20" t="n">
        <x:v>1426000</x:v>
      </x:c>
      <x:c r="I77" s="20" t="n">
        <x:v>858000</x:v>
      </x:c>
      <x:c r="J77" s="20" t="n">
        <x:v>568000</x:v>
      </x:c>
    </x:row>
    <x:row r="78">
      <x:c r="A78" t="str">
        <x:v>DEM-0075</x:v>
      </x:c>
      <x:c r="B78" t="str">
        <x:v>2026-03-12</x:v>
      </x:c>
      <x:c r="C78" t="str">
        <x:v>2026-03</x:v>
      </x:c>
      <x:c r="D78" t="str">
        <x:v>Mayorista</x:v>
      </x:c>
      <x:c r="E78" t="str">
        <x:v>Medellín</x:v>
      </x:c>
      <x:c r="F78" t="str">
        <x:v>Monitores</x:v>
      </x:c>
      <x:c r="G78" t="n">
        <x:v>4</x:v>
      </x:c>
      <x:c r="H78" s="20" t="n">
        <x:v>3459000</x:v>
      </x:c>
      <x:c r="I78" s="20" t="n">
        <x:v>2707000</x:v>
      </x:c>
      <x:c r="J78" s="20" t="n">
        <x:v>752000</x:v>
      </x:c>
    </x:row>
    <x:row r="79">
      <x:c r="A79" t="str">
        <x:v>DEM-0076</x:v>
      </x:c>
      <x:c r="B79" t="str">
        <x:v>2026-04-19</x:v>
      </x:c>
      <x:c r="C79" t="str">
        <x:v>2026-04</x:v>
      </x:c>
      <x:c r="D79" t="str">
        <x:v>Empresas</x:v>
      </x:c>
      <x:c r="E79" t="str">
        <x:v>Cali</x:v>
      </x:c>
      <x:c r="F79" t="str">
        <x:v>Monitores</x:v>
      </x:c>
      <x:c r="G79" t="n">
        <x:v>5</x:v>
      </x:c>
      <x:c r="H79" s="20" t="n">
        <x:v>4700000</x:v>
      </x:c>
      <x:c r="I79" s="20" t="n">
        <x:v>3384000</x:v>
      </x:c>
      <x:c r="J79" s="20" t="n">
        <x:v>1316000</x:v>
      </x:c>
    </x:row>
    <x:row r="80">
      <x:c r="A80" t="str">
        <x:v>DEM-0077</x:v>
      </x:c>
      <x:c r="B80" t="str">
        <x:v>2026-05-05</x:v>
      </x:c>
      <x:c r="C80" t="str">
        <x:v>2026-05</x:v>
      </x:c>
      <x:c r="D80" t="str">
        <x:v>Mayorista</x:v>
      </x:c>
      <x:c r="E80" t="str">
        <x:v>Bogotá</x:v>
      </x:c>
      <x:c r="F80" t="str">
        <x:v>Impresoras</x:v>
      </x:c>
      <x:c r="G80" t="n">
        <x:v>10</x:v>
      </x:c>
      <x:c r="H80" s="20" t="n">
        <x:v>11500000</x:v>
      </x:c>
      <x:c r="I80" s="20" t="n">
        <x:v>9250000</x:v>
      </x:c>
      <x:c r="J80" s="20" t="n">
        <x:v>2250000</x:v>
      </x:c>
    </x:row>
    <x:row r="81">
      <x:c r="A81" t="str">
        <x:v>DEM-0078</x:v>
      </x:c>
      <x:c r="B81" t="str">
        <x:v>2026-06-13</x:v>
      </x:c>
      <x:c r="C81" t="str">
        <x:v>2026-06</x:v>
      </x:c>
      <x:c r="D81" t="str">
        <x:v>Empresas</x:v>
      </x:c>
      <x:c r="E81" t="str">
        <x:v>Bogotá</x:v>
      </x:c>
      <x:c r="F81" t="str">
        <x:v>Impresoras</x:v>
      </x:c>
      <x:c r="G81" t="n">
        <x:v>8</x:v>
      </x:c>
      <x:c r="H81" s="20" t="n">
        <x:v>10800000</x:v>
      </x:c>
      <x:c r="I81" s="20" t="n">
        <x:v>7400000</x:v>
      </x:c>
      <x:c r="J81" s="20" t="n">
        <x:v>3400000</x:v>
      </x:c>
    </x:row>
    <x:row r="82">
      <x:c r="A82" t="str">
        <x:v>DEM-0079</x:v>
      </x:c>
      <x:c r="B82" t="str">
        <x:v>2026-07-06</x:v>
      </x:c>
      <x:c r="C82" t="str">
        <x:v>2026-07</x:v>
      </x:c>
      <x:c r="D82" t="str">
        <x:v>Mayorista</x:v>
      </x:c>
      <x:c r="E82" t="str">
        <x:v>Medellín</x:v>
      </x:c>
      <x:c r="F82" t="str">
        <x:v>Accesorios</x:v>
      </x:c>
      <x:c r="G82" t="n">
        <x:v>16</x:v>
      </x:c>
      <x:c r="H82" s="20" t="n">
        <x:v>3344000</x:v>
      </x:c>
      <x:c r="I82" s="20" t="n">
        <x:v>2288000</x:v>
      </x:c>
      <x:c r="J82" s="20" t="n">
        <x:v>1056000</x:v>
      </x:c>
    </x:row>
    <x:row r="83">
      <x:c r="A83" t="str">
        <x:v>DEM-0080</x:v>
      </x:c>
      <x:c r="B83" t="str">
        <x:v>2026-08-25</x:v>
      </x:c>
      <x:c r="C83" t="str">
        <x:v>2026-08</x:v>
      </x:c>
      <x:c r="D83" t="str">
        <x:v>Mayorista</x:v>
      </x:c>
      <x:c r="E83" t="str">
        <x:v>Barranquilla</x:v>
      </x:c>
      <x:c r="F83" t="str">
        <x:v>Impresoras</x:v>
      </x:c>
      <x:c r="G83" t="n">
        <x:v>6</x:v>
      </x:c>
      <x:c r="H83" s="20" t="n">
        <x:v>8100000</x:v>
      </x:c>
      <x:c r="I83" s="20" t="n">
        <x:v>5550000</x:v>
      </x:c>
      <x:c r="J83" s="20" t="n">
        <x:v>2550000</x:v>
      </x:c>
    </x:row>
    <x:row r="84">
      <x:c r="A84" t="str">
        <x:v>DEM-0081</x:v>
      </x:c>
      <x:c r="B84" t="str">
        <x:v>2026-09-24</x:v>
      </x:c>
      <x:c r="C84" t="str">
        <x:v>2026-09</x:v>
      </x:c>
      <x:c r="D84" t="str">
        <x:v>Mayorista</x:v>
      </x:c>
      <x:c r="E84" t="str">
        <x:v>Medellín</x:v>
      </x:c>
      <x:c r="F84" t="str">
        <x:v>Portátiles</x:v>
      </x:c>
      <x:c r="G84" t="n">
        <x:v>16</x:v>
      </x:c>
      <x:c r="H84" s="20" t="n">
        <x:v>41952000</x:v>
      </x:c>
      <x:c r="I84" s="20" t="n">
        <x:v>35112000</x:v>
      </x:c>
      <x:c r="J84" s="20" t="n">
        <x:v>6840000</x:v>
      </x:c>
    </x:row>
    <x:row r="85">
      <x:c r="A85" t="str">
        <x:v>DEM-0082</x:v>
      </x:c>
      <x:c r="B85" t="str">
        <x:v>2026-01-21</x:v>
      </x:c>
      <x:c r="C85" t="str">
        <x:v>2026-01</x:v>
      </x:c>
      <x:c r="D85" t="str">
        <x:v>Empresas</x:v>
      </x:c>
      <x:c r="E85" t="str">
        <x:v>Barranquilla</x:v>
      </x:c>
      <x:c r="F85" t="str">
        <x:v>Monitores</x:v>
      </x:c>
      <x:c r="G85" t="n">
        <x:v>1</x:v>
      </x:c>
      <x:c r="H85" s="20" t="n">
        <x:v>1015000</x:v>
      </x:c>
      <x:c r="I85" s="20" t="n">
        <x:v>677000</x:v>
      </x:c>
      <x:c r="J85" s="20" t="n">
        <x:v>338000</x:v>
      </x:c>
    </x:row>
    <x:row r="86">
      <x:c r="A86" t="str">
        <x:v>DEM-0083</x:v>
      </x:c>
      <x:c r="B86" t="str">
        <x:v>2026-02-24</x:v>
      </x:c>
      <x:c r="C86" t="str">
        <x:v>2026-02</x:v>
      </x:c>
      <x:c r="D86" t="str">
        <x:v>Minorista</x:v>
      </x:c>
      <x:c r="E86" t="str">
        <x:v>Barranquilla</x:v>
      </x:c>
      <x:c r="F86" t="str">
        <x:v>Accesorios</x:v>
      </x:c>
      <x:c r="G86" t="n">
        <x:v>3</x:v>
      </x:c>
      <x:c r="H86" s="20" t="n">
        <x:v>713000</x:v>
      </x:c>
      <x:c r="I86" s="20" t="n">
        <x:v>429000</x:v>
      </x:c>
      <x:c r="J86" s="20" t="n">
        <x:v>284000</x:v>
      </x:c>
    </x:row>
    <x:row r="87">
      <x:c r="A87" t="str">
        <x:v>DEM-0084</x:v>
      </x:c>
      <x:c r="B87" t="str">
        <x:v>2026-03-14</x:v>
      </x:c>
      <x:c r="C87" t="str">
        <x:v>2026-03</x:v>
      </x:c>
      <x:c r="D87" t="str">
        <x:v>Empresas</x:v>
      </x:c>
      <x:c r="E87" t="str">
        <x:v>Barranquilla</x:v>
      </x:c>
      <x:c r="F87" t="str">
        <x:v>Monitores</x:v>
      </x:c>
      <x:c r="G87" t="n">
        <x:v>1</x:v>
      </x:c>
      <x:c r="H87" s="20" t="n">
        <x:v>1015000</x:v>
      </x:c>
      <x:c r="I87" s="20" t="n">
        <x:v>677000</x:v>
      </x:c>
      <x:c r="J87" s="20" t="n">
        <x:v>338000</x:v>
      </x:c>
    </x:row>
    <x:row r="88">
      <x:c r="A88" t="str">
        <x:v>DEM-0085</x:v>
      </x:c>
      <x:c r="B88" t="str">
        <x:v>2026-04-05</x:v>
      </x:c>
      <x:c r="C88" t="str">
        <x:v>2026-04</x:v>
      </x:c>
      <x:c r="D88" t="str">
        <x:v>Mayorista</x:v>
      </x:c>
      <x:c r="E88" t="str">
        <x:v>Medellín</x:v>
      </x:c>
      <x:c r="F88" t="str">
        <x:v>Impresoras</x:v>
      </x:c>
      <x:c r="G88" t="n">
        <x:v>2</x:v>
      </x:c>
      <x:c r="H88" s="20" t="n">
        <x:v>2375000</x:v>
      </x:c>
      <x:c r="I88" s="20" t="n">
        <x:v>1850000</x:v>
      </x:c>
      <x:c r="J88" s="20" t="n">
        <x:v>525000</x:v>
      </x:c>
    </x:row>
    <x:row r="89">
      <x:c r="A89" t="str">
        <x:v>DEM-0086</x:v>
      </x:c>
      <x:c r="B89" t="str">
        <x:v>2026-05-08</x:v>
      </x:c>
      <x:c r="C89" t="str">
        <x:v>2026-05</x:v>
      </x:c>
      <x:c r="D89" t="str">
        <x:v>Minorista</x:v>
      </x:c>
      <x:c r="E89" t="str">
        <x:v>Barranquilla</x:v>
      </x:c>
      <x:c r="F89" t="str">
        <x:v>Monitores</x:v>
      </x:c>
      <x:c r="G89" t="n">
        <x:v>4</x:v>
      </x:c>
      <x:c r="H89" s="20" t="n">
        <x:v>3760000</x:v>
      </x:c>
      <x:c r="I89" s="20" t="n">
        <x:v>2707000</x:v>
      </x:c>
      <x:c r="J89" s="20" t="n">
        <x:v>1053000</x:v>
      </x:c>
    </x:row>
    <x:row r="90">
      <x:c r="A90" t="str">
        <x:v>DEM-0087</x:v>
      </x:c>
      <x:c r="B90" t="str">
        <x:v>2026-06-11</x:v>
      </x:c>
      <x:c r="C90" t="str">
        <x:v>2026-06</x:v>
      </x:c>
      <x:c r="D90" t="str">
        <x:v>Mayorista</x:v>
      </x:c>
      <x:c r="E90" t="str">
        <x:v>Barranquilla</x:v>
      </x:c>
      <x:c r="F90" t="str">
        <x:v>Portátiles</x:v>
      </x:c>
      <x:c r="G90" t="n">
        <x:v>8</x:v>
      </x:c>
      <x:c r="H90" s="20" t="n">
        <x:v>23940000</x:v>
      </x:c>
      <x:c r="I90" s="20" t="n">
        <x:v>17556000</x:v>
      </x:c>
      <x:c r="J90" s="20" t="n">
        <x:v>6384000</x:v>
      </x:c>
    </x:row>
    <x:row r="91">
      <x:c r="A91" t="str">
        <x:v>DEM-0088</x:v>
      </x:c>
      <x:c r="B91" t="str">
        <x:v>2026-07-22</x:v>
      </x:c>
      <x:c r="C91" t="str">
        <x:v>2026-07</x:v>
      </x:c>
      <x:c r="D91" t="str">
        <x:v>Mayorista</x:v>
      </x:c>
      <x:c r="E91" t="str">
        <x:v>Medellín</x:v>
      </x:c>
      <x:c r="F91" t="str">
        <x:v>Impresoras</x:v>
      </x:c>
      <x:c r="G91" t="n">
        <x:v>8</x:v>
      </x:c>
      <x:c r="H91" s="20" t="n">
        <x:v>9500000</x:v>
      </x:c>
      <x:c r="I91" s="20" t="n">
        <x:v>7400000</x:v>
      </x:c>
      <x:c r="J91" s="20" t="n">
        <x:v>2100000</x:v>
      </x:c>
    </x:row>
    <x:row r="92">
      <x:c r="A92" t="str">
        <x:v>DEM-0089</x:v>
      </x:c>
      <x:c r="B92" t="str">
        <x:v>2026-08-18</x:v>
      </x:c>
      <x:c r="C92" t="str">
        <x:v>2026-08</x:v>
      </x:c>
      <x:c r="D92" t="str">
        <x:v>Empresas</x:v>
      </x:c>
      <x:c r="E92" t="str">
        <x:v>Bogotá</x:v>
      </x:c>
      <x:c r="F92" t="str">
        <x:v>Impresoras</x:v>
      </x:c>
      <x:c r="G92" t="n">
        <x:v>4</x:v>
      </x:c>
      <x:c r="H92" s="20" t="n">
        <x:v>4600000</x:v>
      </x:c>
      <x:c r="I92" s="20" t="n">
        <x:v>3700000</x:v>
      </x:c>
      <x:c r="J92" s="20" t="n">
        <x:v>900000</x:v>
      </x:c>
    </x:row>
    <x:row r="93">
      <x:c r="A93" t="str">
        <x:v>DEM-0090</x:v>
      </x:c>
      <x:c r="B93" t="str">
        <x:v>2026-09-15</x:v>
      </x:c>
      <x:c r="C93" t="str">
        <x:v>2026-09</x:v>
      </x:c>
      <x:c r="D93" t="str">
        <x:v>Minorista</x:v>
      </x:c>
      <x:c r="E93" t="str">
        <x:v>Cali</x:v>
      </x:c>
      <x:c r="F93" t="str">
        <x:v>Portátiles</x:v>
      </x:c>
      <x:c r="G93" t="n">
        <x:v>6</x:v>
      </x:c>
      <x:c r="H93" s="20" t="n">
        <x:v>16245000</x:v>
      </x:c>
      <x:c r="I93" s="20" t="n">
        <x:v>13167000</x:v>
      </x:c>
      <x:c r="J93" s="20" t="n">
        <x:v>3078000</x:v>
      </x:c>
    </x:row>
    <x:row r="94">
      <x:c r="A94" t="str">
        <x:v>DEM-0091</x:v>
      </x:c>
      <x:c r="B94" t="str">
        <x:v>2026-01-25</x:v>
      </x:c>
      <x:c r="C94" t="str">
        <x:v>2026-01</x:v>
      </x:c>
      <x:c r="D94" t="str">
        <x:v>Minorista</x:v>
      </x:c>
      <x:c r="E94" t="str">
        <x:v>Barranquilla</x:v>
      </x:c>
      <x:c r="F94" t="str">
        <x:v>Portátiles</x:v>
      </x:c>
      <x:c r="G94" t="n">
        <x:v>3</x:v>
      </x:c>
      <x:c r="H94" s="20" t="n">
        <x:v>8122000</x:v>
      </x:c>
      <x:c r="I94" s="20" t="n">
        <x:v>6584000</x:v>
      </x:c>
      <x:c r="J94" s="20" t="n">
        <x:v>1538000</x:v>
      </x:c>
    </x:row>
    <x:row r="95">
      <x:c r="A95" t="str">
        <x:v>DEM-0092</x:v>
      </x:c>
      <x:c r="B95" t="str">
        <x:v>2026-02-06</x:v>
      </x:c>
      <x:c r="C95" t="str">
        <x:v>2026-02</x:v>
      </x:c>
      <x:c r="D95" t="str">
        <x:v>Empresas</x:v>
      </x:c>
      <x:c r="E95" t="str">
        <x:v>Cali</x:v>
      </x:c>
      <x:c r="F95" t="str">
        <x:v>Impresoras</x:v>
      </x:c>
      <x:c r="G95" t="n">
        <x:v>4</x:v>
      </x:c>
      <x:c r="H95" s="20" t="n">
        <x:v>4750000</x:v>
      </x:c>
      <x:c r="I95" s="20" t="n">
        <x:v>3700000</x:v>
      </x:c>
      <x:c r="J95" s="20" t="n">
        <x:v>1050000</x:v>
      </x:c>
    </x:row>
    <x:row r="96">
      <x:c r="A96" t="str">
        <x:v>DEM-0093</x:v>
      </x:c>
      <x:c r="B96" t="str">
        <x:v>2026-03-22</x:v>
      </x:c>
      <x:c r="C96" t="str">
        <x:v>2026-03</x:v>
      </x:c>
      <x:c r="D96" t="str">
        <x:v>Minorista</x:v>
      </x:c>
      <x:c r="E96" t="str">
        <x:v>Medellín</x:v>
      </x:c>
      <x:c r="F96" t="str">
        <x:v>Portátiles</x:v>
      </x:c>
      <x:c r="G96" t="n">
        <x:v>1</x:v>
      </x:c>
      <x:c r="H96" s="20" t="n">
        <x:v>2622000</x:v>
      </x:c>
      <x:c r="I96" s="20" t="n">
        <x:v>2194000</x:v>
      </x:c>
      <x:c r="J96" s="20" t="n">
        <x:v>428000</x:v>
      </x:c>
    </x:row>
    <x:row r="97">
      <x:c r="A97" t="str">
        <x:v>DEM-0094</x:v>
      </x:c>
      <x:c r="B97" t="str">
        <x:v>2026-04-14</x:v>
      </x:c>
      <x:c r="C97" t="str">
        <x:v>2026-04</x:v>
      </x:c>
      <x:c r="D97" t="str">
        <x:v>Empresas</x:v>
      </x:c>
      <x:c r="E97" t="str">
        <x:v>Medellín</x:v>
      </x:c>
      <x:c r="F97" t="str">
        <x:v>Monitores</x:v>
      </x:c>
      <x:c r="G97" t="n">
        <x:v>6</x:v>
      </x:c>
      <x:c r="H97" s="20" t="n">
        <x:v>5640000</x:v>
      </x:c>
      <x:c r="I97" s="20" t="n">
        <x:v>4061000</x:v>
      </x:c>
      <x:c r="J97" s="20" t="n">
        <x:v>1579000</x:v>
      </x:c>
    </x:row>
    <x:row r="98">
      <x:c r="A98" t="str">
        <x:v>DEM-0095</x:v>
      </x:c>
      <x:c r="B98" t="str">
        <x:v>2026-05-25</x:v>
      </x:c>
      <x:c r="C98" t="str">
        <x:v>2026-05</x:v>
      </x:c>
      <x:c r="D98" t="str">
        <x:v>Mayorista</x:v>
      </x:c>
      <x:c r="E98" t="str">
        <x:v>Medellín</x:v>
      </x:c>
      <x:c r="F98" t="str">
        <x:v>Monitores</x:v>
      </x:c>
      <x:c r="G98" t="n">
        <x:v>12</x:v>
      </x:c>
      <x:c r="H98" s="20" t="n">
        <x:v>11844000</x:v>
      </x:c>
      <x:c r="I98" s="20" t="n">
        <x:v>8122000</x:v>
      </x:c>
      <x:c r="J98" s="20" t="n">
        <x:v>3722000</x:v>
      </x:c>
    </x:row>
    <x:row r="99">
      <x:c r="A99" t="str">
        <x:v>DEM-0096</x:v>
      </x:c>
      <x:c r="B99" t="str">
        <x:v>2026-06-19</x:v>
      </x:c>
      <x:c r="C99" t="str">
        <x:v>2026-06</x:v>
      </x:c>
      <x:c r="D99" t="str">
        <x:v>Minorista</x:v>
      </x:c>
      <x:c r="E99" t="str">
        <x:v>Bogotá</x:v>
      </x:c>
      <x:c r="F99" t="str">
        <x:v>Accesorios</x:v>
      </x:c>
      <x:c r="G99" t="n">
        <x:v>7</x:v>
      </x:c>
      <x:c r="H99" s="20" t="n">
        <x:v>1463000</x:v>
      </x:c>
      <x:c r="I99" s="20" t="n">
        <x:v>1001000</x:v>
      </x:c>
      <x:c r="J99" s="20" t="n">
        <x:v>462000</x:v>
      </x:c>
    </x:row>
    <x:row r="100">
      <x:c r="A100" t="str">
        <x:v>DEM-0097</x:v>
      </x:c>
      <x:c r="B100" t="str">
        <x:v>2026-07-09</x:v>
      </x:c>
      <x:c r="C100" t="str">
        <x:v>2026-07</x:v>
      </x:c>
      <x:c r="D100" t="str">
        <x:v>Mayorista</x:v>
      </x:c>
      <x:c r="E100" t="str">
        <x:v>Medellín</x:v>
      </x:c>
      <x:c r="F100" t="str">
        <x:v>Monitores</x:v>
      </x:c>
      <x:c r="G100" t="n">
        <x:v>8</x:v>
      </x:c>
      <x:c r="H100" s="20" t="n">
        <x:v>7896000</x:v>
      </x:c>
      <x:c r="I100" s="20" t="n">
        <x:v>5414000</x:v>
      </x:c>
      <x:c r="J100" s="20" t="n">
        <x:v>2482000</x:v>
      </x:c>
    </x:row>
    <x:row r="101">
      <x:c r="A101" t="str">
        <x:v>DEM-0098</x:v>
      </x:c>
      <x:c r="B101" t="str">
        <x:v>2026-08-10</x:v>
      </x:c>
      <x:c r="C101" t="str">
        <x:v>2026-08</x:v>
      </x:c>
      <x:c r="D101" t="str">
        <x:v>Empresas</x:v>
      </x:c>
      <x:c r="E101" t="str">
        <x:v>Bogotá</x:v>
      </x:c>
      <x:c r="F101" t="str">
        <x:v>Monitores</x:v>
      </x:c>
      <x:c r="G101" t="n">
        <x:v>2</x:v>
      </x:c>
      <x:c r="H101" s="20" t="n">
        <x:v>1786000</x:v>
      </x:c>
      <x:c r="I101" s="20" t="n">
        <x:v>1354000</x:v>
      </x:c>
      <x:c r="J101" s="20" t="n">
        <x:v>432000</x:v>
      </x:c>
    </x:row>
    <x:row r="102">
      <x:c r="A102" t="str">
        <x:v>DEM-0099</x:v>
      </x:c>
      <x:c r="B102" t="str">
        <x:v>2026-09-07</x:v>
      </x:c>
      <x:c r="C102" t="str">
        <x:v>2026-09</x:v>
      </x:c>
      <x:c r="D102" t="str">
        <x:v>Mayorista</x:v>
      </x:c>
      <x:c r="E102" t="str">
        <x:v>Cali</x:v>
      </x:c>
      <x:c r="F102" t="str">
        <x:v>Portátiles</x:v>
      </x:c>
      <x:c r="G102" t="n">
        <x:v>4</x:v>
      </x:c>
      <x:c r="H102" s="20" t="n">
        <x:v>10488000</x:v>
      </x:c>
      <x:c r="I102" s="20" t="n">
        <x:v>8778000</x:v>
      </x:c>
      <x:c r="J102" s="20" t="n">
        <x:v>1710000</x:v>
      </x:c>
    </x:row>
    <x:row r="103">
      <x:c r="A103" t="str">
        <x:v>DEM-0100</x:v>
      </x:c>
      <x:c r="B103" t="str">
        <x:v>2026-01-07</x:v>
      </x:c>
      <x:c r="C103" t="str">
        <x:v>2026-01</x:v>
      </x:c>
      <x:c r="D103" t="str">
        <x:v>Empresas</x:v>
      </x:c>
      <x:c r="E103" t="str">
        <x:v>Bogotá</x:v>
      </x:c>
      <x:c r="F103" t="str">
        <x:v>Impresoras</x:v>
      </x:c>
      <x:c r="G103" t="n">
        <x:v>8</x:v>
      </x:c>
      <x:c r="H103" s="20" t="n">
        <x:v>9500000</x:v>
      </x:c>
      <x:c r="I103" s="20" t="n">
        <x:v>7400000</x:v>
      </x:c>
      <x:c r="J103" s="20" t="n">
        <x:v>2100000</x:v>
      </x:c>
    </x:row>
    <x:row r="104">
      <x:c r="A104" t="str">
        <x:v>DEM-0101</x:v>
      </x:c>
      <x:c r="B104" t="str">
        <x:v>2026-02-09</x:v>
      </x:c>
      <x:c r="C104" t="str">
        <x:v>2026-02</x:v>
      </x:c>
      <x:c r="D104" t="str">
        <x:v>Minorista</x:v>
      </x:c>
      <x:c r="E104" t="str">
        <x:v>Bogotá</x:v>
      </x:c>
      <x:c r="F104" t="str">
        <x:v>Impresoras</x:v>
      </x:c>
      <x:c r="G104" t="n">
        <x:v>3</x:v>
      </x:c>
      <x:c r="H104" s="20" t="n">
        <x:v>3450000</x:v>
      </x:c>
      <x:c r="I104" s="20" t="n">
        <x:v>2775000</x:v>
      </x:c>
      <x:c r="J104" s="20" t="n">
        <x:v>675000</x:v>
      </x:c>
    </x:row>
    <x:row r="105">
      <x:c r="A105" t="str">
        <x:v>DEM-0102</x:v>
      </x:c>
      <x:c r="B105" t="str">
        <x:v>2026-03-24</x:v>
      </x:c>
      <x:c r="C105" t="str">
        <x:v>2026-03</x:v>
      </x:c>
      <x:c r="D105" t="str">
        <x:v>Mayorista</x:v>
      </x:c>
      <x:c r="E105" t="str">
        <x:v>Bogotá</x:v>
      </x:c>
      <x:c r="F105" t="str">
        <x:v>Impresoras</x:v>
      </x:c>
      <x:c r="G105" t="n">
        <x:v>4</x:v>
      </x:c>
      <x:c r="H105" s="20" t="n">
        <x:v>4750000</x:v>
      </x:c>
      <x:c r="I105" s="20" t="n">
        <x:v>3700000</x:v>
      </x:c>
      <x:c r="J105" s="20" t="n">
        <x:v>1050000</x:v>
      </x:c>
    </x:row>
    <x:row r="106">
      <x:c r="A106" t="str">
        <x:v>DEM-0103</x:v>
      </x:c>
      <x:c r="B106" t="str">
        <x:v>2026-04-02</x:v>
      </x:c>
      <x:c r="C106" t="str">
        <x:v>2026-04</x:v>
      </x:c>
      <x:c r="D106" t="str">
        <x:v>Minorista</x:v>
      </x:c>
      <x:c r="E106" t="str">
        <x:v>Barranquilla</x:v>
      </x:c>
      <x:c r="F106" t="str">
        <x:v>Portátiles</x:v>
      </x:c>
      <x:c r="G106" t="n">
        <x:v>3</x:v>
      </x:c>
      <x:c r="H106" s="20" t="n">
        <x:v>8978000</x:v>
      </x:c>
      <x:c r="I106" s="20" t="n">
        <x:v>6584000</x:v>
      </x:c>
      <x:c r="J106" s="20" t="n">
        <x:v>2394000</x:v>
      </x:c>
    </x:row>
    <x:row r="107">
      <x:c r="A107" t="str">
        <x:v>DEM-0104</x:v>
      </x:c>
      <x:c r="B107" t="str">
        <x:v>2026-05-23</x:v>
      </x:c>
      <x:c r="C107" t="str">
        <x:v>2026-05</x:v>
      </x:c>
      <x:c r="D107" t="str">
        <x:v>Mayorista</x:v>
      </x:c>
      <x:c r="E107" t="str">
        <x:v>Medellín</x:v>
      </x:c>
      <x:c r="F107" t="str">
        <x:v>Portátiles</x:v>
      </x:c>
      <x:c r="G107" t="n">
        <x:v>2</x:v>
      </x:c>
      <x:c r="H107" s="20" t="n">
        <x:v>5244000</x:v>
      </x:c>
      <x:c r="I107" s="20" t="n">
        <x:v>4389000</x:v>
      </x:c>
      <x:c r="J107" s="20" t="n">
        <x:v>855000</x:v>
      </x:c>
    </x:row>
    <x:row r="108">
      <x:c r="A108" t="str">
        <x:v>DEM-0105</x:v>
      </x:c>
      <x:c r="B108" t="str">
        <x:v>2026-06-25</x:v>
      </x:c>
      <x:c r="C108" t="str">
        <x:v>2026-06</x:v>
      </x:c>
      <x:c r="D108" t="str">
        <x:v>Minorista</x:v>
      </x:c>
      <x:c r="E108" t="str">
        <x:v>Cali</x:v>
      </x:c>
      <x:c r="F108" t="str">
        <x:v>Accesorios</x:v>
      </x:c>
      <x:c r="G108" t="n">
        <x:v>5</x:v>
      </x:c>
      <x:c r="H108" s="20" t="n">
        <x:v>1188000</x:v>
      </x:c>
      <x:c r="I108" s="20" t="n">
        <x:v>715000</x:v>
      </x:c>
      <x:c r="J108" s="20" t="n">
        <x:v>473000</x:v>
      </x:c>
    </x:row>
    <x:row r="109">
      <x:c r="A109" t="str">
        <x:v>DEM-0106</x:v>
      </x:c>
      <x:c r="B109" t="str">
        <x:v>2026-07-03</x:v>
      </x:c>
      <x:c r="C109" t="str">
        <x:v>2026-07</x:v>
      </x:c>
      <x:c r="D109" t="str">
        <x:v>Minorista</x:v>
      </x:c>
      <x:c r="E109" t="str">
        <x:v>Barranquilla</x:v>
      </x:c>
      <x:c r="F109" t="str">
        <x:v>Portátiles</x:v>
      </x:c>
      <x:c r="G109" t="n">
        <x:v>6</x:v>
      </x:c>
      <x:c r="H109" s="20" t="n">
        <x:v>17955000</x:v>
      </x:c>
      <x:c r="I109" s="20" t="n">
        <x:v>13167000</x:v>
      </x:c>
      <x:c r="J109" s="20" t="n">
        <x:v>4788000</x:v>
      </x:c>
    </x:row>
    <x:row r="110">
      <x:c r="A110" t="str">
        <x:v>DEM-0107</x:v>
      </x:c>
      <x:c r="B110" t="str">
        <x:v>2026-08-19</x:v>
      </x:c>
      <x:c r="C110" t="str">
        <x:v>2026-08</x:v>
      </x:c>
      <x:c r="D110" t="str">
        <x:v>Minorista</x:v>
      </x:c>
      <x:c r="E110" t="str">
        <x:v>Bogotá</x:v>
      </x:c>
      <x:c r="F110" t="str">
        <x:v>Monitores</x:v>
      </x:c>
      <x:c r="G110" t="n">
        <x:v>6</x:v>
      </x:c>
      <x:c r="H110" s="20" t="n">
        <x:v>5358000</x:v>
      </x:c>
      <x:c r="I110" s="20" t="n">
        <x:v>4061000</x:v>
      </x:c>
      <x:c r="J110" s="20" t="n">
        <x:v>1297000</x:v>
      </x:c>
    </x:row>
    <x:row r="111">
      <x:c r="A111" t="str">
        <x:v>DEM-0108</x:v>
      </x:c>
      <x:c r="B111" t="str">
        <x:v>2026-09-19</x:v>
      </x:c>
      <x:c r="C111" t="str">
        <x:v>2026-09</x:v>
      </x:c>
      <x:c r="D111" t="str">
        <x:v>Empresas</x:v>
      </x:c>
      <x:c r="E111" t="str">
        <x:v>Bogotá</x:v>
      </x:c>
      <x:c r="F111" t="str">
        <x:v>Monitores</x:v>
      </x:c>
      <x:c r="G111" t="n">
        <x:v>8</x:v>
      </x:c>
      <x:c r="H111" s="20" t="n">
        <x:v>7896000</x:v>
      </x:c>
      <x:c r="I111" s="20" t="n">
        <x:v>5414000</x:v>
      </x:c>
      <x:c r="J111" s="20" t="n">
        <x:v>2482000</x:v>
      </x:c>
    </x:row>
    <x:row r="112">
      <x:c r="A112" t="str">
        <x:v>DEM-0109</x:v>
      </x:c>
      <x:c r="B112" t="str">
        <x:v>2026-01-12</x:v>
      </x:c>
      <x:c r="C112" t="str">
        <x:v>2026-01</x:v>
      </x:c>
      <x:c r="D112" t="str">
        <x:v>Mayorista</x:v>
      </x:c>
      <x:c r="E112" t="str">
        <x:v>Bogotá</x:v>
      </x:c>
      <x:c r="F112" t="str">
        <x:v>Accesorios</x:v>
      </x:c>
      <x:c r="G112" t="n">
        <x:v>12</x:v>
      </x:c>
      <x:c r="H112" s="20" t="n">
        <x:v>2772000</x:v>
      </x:c>
      <x:c r="I112" s="20" t="n">
        <x:v>1716000</x:v>
      </x:c>
      <x:c r="J112" s="20" t="n">
        <x:v>1056000</x:v>
      </x:c>
    </x:row>
    <x:row r="113">
      <x:c r="A113" t="str">
        <x:v>DEM-0110</x:v>
      </x:c>
      <x:c r="B113" t="str">
        <x:v>2026-02-06</x:v>
      </x:c>
      <x:c r="C113" t="str">
        <x:v>2026-02</x:v>
      </x:c>
      <x:c r="D113" t="str">
        <x:v>Mayorista</x:v>
      </x:c>
      <x:c r="E113" t="str">
        <x:v>Bogotá</x:v>
      </x:c>
      <x:c r="F113" t="str">
        <x:v>Impresoras</x:v>
      </x:c>
      <x:c r="G113" t="n">
        <x:v>12</x:v>
      </x:c>
      <x:c r="H113" s="20" t="n">
        <x:v>15750000</x:v>
      </x:c>
      <x:c r="I113" s="20" t="n">
        <x:v>11100000</x:v>
      </x:c>
      <x:c r="J113" s="20" t="n">
        <x:v>4650000</x:v>
      </x:c>
    </x:row>
    <x:row r="114">
      <x:c r="A114" t="str">
        <x:v>DEM-0111</x:v>
      </x:c>
      <x:c r="B114" t="str">
        <x:v>2026-03-09</x:v>
      </x:c>
      <x:c r="C114" t="str">
        <x:v>2026-03</x:v>
      </x:c>
      <x:c r="D114" t="str">
        <x:v>Empresas</x:v>
      </x:c>
      <x:c r="E114" t="str">
        <x:v>Barranquilla</x:v>
      </x:c>
      <x:c r="F114" t="str">
        <x:v>Impresoras</x:v>
      </x:c>
      <x:c r="G114" t="n">
        <x:v>2</x:v>
      </x:c>
      <x:c r="H114" s="20" t="n">
        <x:v>2500000</x:v>
      </x:c>
      <x:c r="I114" s="20" t="n">
        <x:v>1850000</x:v>
      </x:c>
      <x:c r="J114" s="20" t="n">
        <x:v>650000</x:v>
      </x:c>
    </x:row>
    <x:row r="115">
      <x:c r="A115" t="str">
        <x:v>DEM-0112</x:v>
      </x:c>
      <x:c r="B115" t="str">
        <x:v>2026-04-01</x:v>
      </x:c>
      <x:c r="C115" t="str">
        <x:v>2026-04</x:v>
      </x:c>
      <x:c r="D115" t="str">
        <x:v>Minorista</x:v>
      </x:c>
      <x:c r="E115" t="str">
        <x:v>Medellín</x:v>
      </x:c>
      <x:c r="F115" t="str">
        <x:v>Portátiles</x:v>
      </x:c>
      <x:c r="G115" t="n">
        <x:v>7</x:v>
      </x:c>
      <x:c r="H115" s="20" t="n">
        <x:v>20948000</x:v>
      </x:c>
      <x:c r="I115" s="20" t="n">
        <x:v>15362000</x:v>
      </x:c>
      <x:c r="J115" s="20" t="n">
        <x:v>5586000</x:v>
      </x:c>
    </x:row>
    <x:row r="116">
      <x:c r="A116" t="str">
        <x:v>DEM-0113</x:v>
      </x:c>
      <x:c r="B116" t="str">
        <x:v>2026-05-02</x:v>
      </x:c>
      <x:c r="C116" t="str">
        <x:v>2026-05</x:v>
      </x:c>
      <x:c r="D116" t="str">
        <x:v>Minorista</x:v>
      </x:c>
      <x:c r="E116" t="str">
        <x:v>Bogotá</x:v>
      </x:c>
      <x:c r="F116" t="str">
        <x:v>Portátiles</x:v>
      </x:c>
      <x:c r="G116" t="n">
        <x:v>3</x:v>
      </x:c>
      <x:c r="H116" s="20" t="n">
        <x:v>8550000</x:v>
      </x:c>
      <x:c r="I116" s="20" t="n">
        <x:v>6584000</x:v>
      </x:c>
      <x:c r="J116" s="20" t="n">
        <x:v>1966000</x:v>
      </x:c>
    </x:row>
    <x:row r="117">
      <x:c r="A117" t="str">
        <x:v>DEM-0114</x:v>
      </x:c>
      <x:c r="B117" t="str">
        <x:v>2026-06-01</x:v>
      </x:c>
      <x:c r="C117" t="str">
        <x:v>2026-06</x:v>
      </x:c>
      <x:c r="D117" t="str">
        <x:v>Mayorista</x:v>
      </x:c>
      <x:c r="E117" t="str">
        <x:v>Cali</x:v>
      </x:c>
      <x:c r="F117" t="str">
        <x:v>Portátiles</x:v>
      </x:c>
      <x:c r="G117" t="n">
        <x:v>10</x:v>
      </x:c>
      <x:c r="H117" s="20" t="n">
        <x:v>29925000</x:v>
      </x:c>
      <x:c r="I117" s="20" t="n">
        <x:v>21945000</x:v>
      </x:c>
      <x:c r="J117" s="20" t="n">
        <x:v>7980000</x:v>
      </x:c>
    </x:row>
    <x:row r="118">
      <x:c r="A118" t="str">
        <x:v>DEM-0115</x:v>
      </x:c>
      <x:c r="B118" t="str">
        <x:v>2026-07-13</x:v>
      </x:c>
      <x:c r="C118" t="str">
        <x:v>2026-07</x:v>
      </x:c>
      <x:c r="D118" t="str">
        <x:v>Empresas</x:v>
      </x:c>
      <x:c r="E118" t="str">
        <x:v>Medellín</x:v>
      </x:c>
      <x:c r="F118" t="str">
        <x:v>Portátiles</x:v>
      </x:c>
      <x:c r="G118" t="n">
        <x:v>2</x:v>
      </x:c>
      <x:c r="H118" s="20" t="n">
        <x:v>5244000</x:v>
      </x:c>
      <x:c r="I118" s="20" t="n">
        <x:v>4389000</x:v>
      </x:c>
      <x:c r="J118" s="20" t="n">
        <x:v>855000</x:v>
      </x:c>
    </x:row>
    <x:row r="119">
      <x:c r="A119" t="str">
        <x:v>DEM-0116</x:v>
      </x:c>
      <x:c r="B119" t="str">
        <x:v>2026-08-19</x:v>
      </x:c>
      <x:c r="C119" t="str">
        <x:v>2026-08</x:v>
      </x:c>
      <x:c r="D119" t="str">
        <x:v>Minorista</x:v>
      </x:c>
      <x:c r="E119" t="str">
        <x:v>Medellín</x:v>
      </x:c>
      <x:c r="F119" t="str">
        <x:v>Monitores</x:v>
      </x:c>
      <x:c r="G119" t="n">
        <x:v>2</x:v>
      </x:c>
      <x:c r="H119" s="20" t="n">
        <x:v>2030000</x:v>
      </x:c>
      <x:c r="I119" s="20" t="n">
        <x:v>1354000</x:v>
      </x:c>
      <x:c r="J119" s="20" t="n">
        <x:v>676000</x:v>
      </x:c>
    </x:row>
    <x:row r="120">
      <x:c r="A120" t="str">
        <x:v>DEM-0117</x:v>
      </x:c>
      <x:c r="B120" t="str">
        <x:v>2026-09-09</x:v>
      </x:c>
      <x:c r="C120" t="str">
        <x:v>2026-09</x:v>
      </x:c>
      <x:c r="D120" t="str">
        <x:v>Minorista</x:v>
      </x:c>
      <x:c r="E120" t="str">
        <x:v>Bogotá</x:v>
      </x:c>
      <x:c r="F120" t="str">
        <x:v>Impresoras</x:v>
      </x:c>
      <x:c r="G120" t="n">
        <x:v>6</x:v>
      </x:c>
      <x:c r="H120" s="20" t="n">
        <x:v>8100000</x:v>
      </x:c>
      <x:c r="I120" s="20" t="n">
        <x:v>5550000</x:v>
      </x:c>
      <x:c r="J120" s="20" t="n">
        <x:v>2550000</x:v>
      </x:c>
    </x:row>
    <x:row r="121">
      <x:c r="A121" t="str">
        <x:v>DEM-0118</x:v>
      </x:c>
      <x:c r="B121" t="str">
        <x:v>2026-01-05</x:v>
      </x:c>
      <x:c r="C121" t="str">
        <x:v>2026-01</x:v>
      </x:c>
      <x:c r="D121" t="str">
        <x:v>Empresas</x:v>
      </x:c>
      <x:c r="E121" t="str">
        <x:v>Medellín</x:v>
      </x:c>
      <x:c r="F121" t="str">
        <x:v>Monitores</x:v>
      </x:c>
      <x:c r="G121" t="n">
        <x:v>4</x:v>
      </x:c>
      <x:c r="H121" s="20" t="n">
        <x:v>4061000</x:v>
      </x:c>
      <x:c r="I121" s="20" t="n">
        <x:v>2707000</x:v>
      </x:c>
      <x:c r="J121" s="20" t="n">
        <x:v>1354000</x:v>
      </x:c>
    </x:row>
    <x:row r="122">
      <x:c r="A122" t="str">
        <x:v>DEM-0119</x:v>
      </x:c>
      <x:c r="B122" t="str">
        <x:v>2026-02-22</x:v>
      </x:c>
      <x:c r="C122" t="str">
        <x:v>2026-02</x:v>
      </x:c>
      <x:c r="D122" t="str">
        <x:v>Minorista</x:v>
      </x:c>
      <x:c r="E122" t="str">
        <x:v>Medellín</x:v>
      </x:c>
      <x:c r="F122" t="str">
        <x:v>Accesorios</x:v>
      </x:c>
      <x:c r="G122" t="n">
        <x:v>4</x:v>
      </x:c>
      <x:c r="H122" s="20" t="n">
        <x:v>880000</x:v>
      </x:c>
      <x:c r="I122" s="20" t="n">
        <x:v>572000</x:v>
      </x:c>
      <x:c r="J122" s="20" t="n">
        <x:v>308000</x:v>
      </x:c>
    </x:row>
    <x:row r="123">
      <x:c r="A123" t="str">
        <x:v>DEM-0120</x:v>
      </x:c>
      <x:c r="B123" t="str">
        <x:v>2026-03-07</x:v>
      </x:c>
      <x:c r="C123" t="str">
        <x:v>2026-03</x:v>
      </x:c>
      <x:c r="D123" t="str">
        <x:v>Mayorista</x:v>
      </x:c>
      <x:c r="E123" t="str">
        <x:v>Barranquilla</x:v>
      </x:c>
      <x:c r="F123" t="str">
        <x:v>Accesorios</x:v>
      </x:c>
      <x:c r="G123" t="n">
        <x:v>8</x:v>
      </x:c>
      <x:c r="H123" s="20" t="n">
        <x:v>1760000</x:v>
      </x:c>
      <x:c r="I123" s="20" t="n">
        <x:v>1144000</x:v>
      </x:c>
      <x:c r="J123" s="20" t="n">
        <x:v>616000</x:v>
      </x:c>
    </x:row>
    <x:row r="124">
      <x:c r="A124" t="str">
        <x:v>DEM-0121</x:v>
      </x:c>
      <x:c r="B124" t="str">
        <x:v>2026-04-24</x:v>
      </x:c>
      <x:c r="C124" t="str">
        <x:v>2026-04</x:v>
      </x:c>
      <x:c r="D124" t="str">
        <x:v>Mayorista</x:v>
      </x:c>
      <x:c r="E124" t="str">
        <x:v>Barranquilla</x:v>
      </x:c>
      <x:c r="F124" t="str">
        <x:v>Impresoras</x:v>
      </x:c>
      <x:c r="G124" t="n">
        <x:v>4</x:v>
      </x:c>
      <x:c r="H124" s="20" t="n">
        <x:v>5400000</x:v>
      </x:c>
      <x:c r="I124" s="20" t="n">
        <x:v>3700000</x:v>
      </x:c>
      <x:c r="J124" s="20" t="n">
        <x:v>1700000</x:v>
      </x:c>
    </x:row>
    <x:row r="125">
      <x:c r="A125" t="str">
        <x:v>DEM-0122</x:v>
      </x:c>
      <x:c r="B125" t="str">
        <x:v>2026-05-08</x:v>
      </x:c>
      <x:c r="C125" t="str">
        <x:v>2026-05</x:v>
      </x:c>
      <x:c r="D125" t="str">
        <x:v>Empresas</x:v>
      </x:c>
      <x:c r="E125" t="str">
        <x:v>Cali</x:v>
      </x:c>
      <x:c r="F125" t="str">
        <x:v>Accesorios</x:v>
      </x:c>
      <x:c r="G125" t="n">
        <x:v>8</x:v>
      </x:c>
      <x:c r="H125" s="20" t="n">
        <x:v>1760000</x:v>
      </x:c>
      <x:c r="I125" s="20" t="n">
        <x:v>1144000</x:v>
      </x:c>
      <x:c r="J125" s="20" t="n">
        <x:v>616000</x:v>
      </x:c>
    </x:row>
    <x:row r="126">
      <x:c r="A126" t="str">
        <x:v>DEM-0123</x:v>
      </x:c>
      <x:c r="B126" t="str">
        <x:v>2026-06-14</x:v>
      </x:c>
      <x:c r="C126" t="str">
        <x:v>2026-06</x:v>
      </x:c>
      <x:c r="D126" t="str">
        <x:v>Empresas</x:v>
      </x:c>
      <x:c r="E126" t="str">
        <x:v>Bogotá</x:v>
      </x:c>
      <x:c r="F126" t="str">
        <x:v>Impresoras</x:v>
      </x:c>
      <x:c r="G126" t="n">
        <x:v>7</x:v>
      </x:c>
      <x:c r="H126" s="20" t="n">
        <x:v>9450000</x:v>
      </x:c>
      <x:c r="I126" s="20" t="n">
        <x:v>6475000</x:v>
      </x:c>
      <x:c r="J126" s="20" t="n">
        <x:v>2975000</x:v>
      </x:c>
    </x:row>
    <x:row r="127">
      <x:c r="A127" t="str">
        <x:v>DEM-0124</x:v>
      </x:c>
      <x:c r="B127" t="str">
        <x:v>2026-07-16</x:v>
      </x:c>
      <x:c r="C127" t="str">
        <x:v>2026-07</x:v>
      </x:c>
      <x:c r="D127" t="str">
        <x:v>Mayorista</x:v>
      </x:c>
      <x:c r="E127" t="str">
        <x:v>Cali</x:v>
      </x:c>
      <x:c r="F127" t="str">
        <x:v>Accesorios</x:v>
      </x:c>
      <x:c r="G127" t="n">
        <x:v>4</x:v>
      </x:c>
      <x:c r="H127" s="20" t="n">
        <x:v>880000</x:v>
      </x:c>
      <x:c r="I127" s="20" t="n">
        <x:v>572000</x:v>
      </x:c>
      <x:c r="J127" s="20" t="n">
        <x:v>308000</x:v>
      </x:c>
    </x:row>
    <x:row r="128">
      <x:c r="A128" t="str">
        <x:v>DEM-0125</x:v>
      </x:c>
      <x:c r="B128" t="str">
        <x:v>2026-08-16</x:v>
      </x:c>
      <x:c r="C128" t="str">
        <x:v>2026-08</x:v>
      </x:c>
      <x:c r="D128" t="str">
        <x:v>Mayorista</x:v>
      </x:c>
      <x:c r="E128" t="str">
        <x:v>Medellín</x:v>
      </x:c>
      <x:c r="F128" t="str">
        <x:v>Accesorios</x:v>
      </x:c>
      <x:c r="G128" t="n">
        <x:v>14</x:v>
      </x:c>
      <x:c r="H128" s="20" t="n">
        <x:v>3234000</x:v>
      </x:c>
      <x:c r="I128" s="20" t="n">
        <x:v>2002000</x:v>
      </x:c>
      <x:c r="J128" s="20" t="n">
        <x:v>1232000</x:v>
      </x:c>
    </x:row>
    <x:row r="129">
      <x:c r="A129" t="str">
        <x:v>DEM-0126</x:v>
      </x:c>
      <x:c r="B129" t="str">
        <x:v>2026-09-18</x:v>
      </x:c>
      <x:c r="C129" t="str">
        <x:v>2026-09</x:v>
      </x:c>
      <x:c r="D129" t="str">
        <x:v>Empresas</x:v>
      </x:c>
      <x:c r="E129" t="str">
        <x:v>Barranquilla</x:v>
      </x:c>
      <x:c r="F129" t="str">
        <x:v>Accesorios</x:v>
      </x:c>
      <x:c r="G129" t="n">
        <x:v>7</x:v>
      </x:c>
      <x:c r="H129" s="20" t="n">
        <x:v>1540000</x:v>
      </x:c>
      <x:c r="I129" s="20" t="n">
        <x:v>1001000</x:v>
      </x:c>
      <x:c r="J129" s="20" t="n">
        <x:v>539000</x:v>
      </x:c>
    </x:row>
    <x:row r="130">
      <x:c r="A130" t="str">
        <x:v>DEM-0127</x:v>
      </x:c>
      <x:c r="B130" t="str">
        <x:v>2026-01-05</x:v>
      </x:c>
      <x:c r="C130" t="str">
        <x:v>2026-01</x:v>
      </x:c>
      <x:c r="D130" t="str">
        <x:v>Minorista</x:v>
      </x:c>
      <x:c r="E130" t="str">
        <x:v>Medellín</x:v>
      </x:c>
      <x:c r="F130" t="str">
        <x:v>Monitores</x:v>
      </x:c>
      <x:c r="G130" t="n">
        <x:v>1</x:v>
      </x:c>
      <x:c r="H130" s="20" t="n">
        <x:v>987000</x:v>
      </x:c>
      <x:c r="I130" s="20" t="n">
        <x:v>677000</x:v>
      </x:c>
      <x:c r="J130" s="20" t="n">
        <x:v>310000</x:v>
      </x:c>
    </x:row>
    <x:row r="131">
      <x:c r="A131" t="str">
        <x:v>DEM-0128</x:v>
      </x:c>
      <x:c r="B131" t="str">
        <x:v>2026-02-21</x:v>
      </x:c>
      <x:c r="C131" t="str">
        <x:v>2026-02</x:v>
      </x:c>
      <x:c r="D131" t="str">
        <x:v>Minorista</x:v>
      </x:c>
      <x:c r="E131" t="str">
        <x:v>Cali</x:v>
      </x:c>
      <x:c r="F131" t="str">
        <x:v>Monitores</x:v>
      </x:c>
      <x:c r="G131" t="n">
        <x:v>6</x:v>
      </x:c>
      <x:c r="H131" s="20" t="n">
        <x:v>5640000</x:v>
      </x:c>
      <x:c r="I131" s="20" t="n">
        <x:v>4061000</x:v>
      </x:c>
      <x:c r="J131" s="20" t="n">
        <x:v>1579000</x:v>
      </x:c>
    </x:row>
    <x:row r="132">
      <x:c r="A132" t="str">
        <x:v>DEM-0129</x:v>
      </x:c>
      <x:c r="B132" t="str">
        <x:v>2026-03-01</x:v>
      </x:c>
      <x:c r="C132" t="str">
        <x:v>2026-03</x:v>
      </x:c>
      <x:c r="D132" t="str">
        <x:v>Empresas</x:v>
      </x:c>
      <x:c r="E132" t="str">
        <x:v>Barranquilla</x:v>
      </x:c>
      <x:c r="F132" t="str">
        <x:v>Monitores</x:v>
      </x:c>
      <x:c r="G132" t="n">
        <x:v>8</x:v>
      </x:c>
      <x:c r="H132" s="20" t="n">
        <x:v>8122000</x:v>
      </x:c>
      <x:c r="I132" s="20" t="n">
        <x:v>5414000</x:v>
      </x:c>
      <x:c r="J132" s="20" t="n">
        <x:v>2708000</x:v>
      </x:c>
    </x:row>
    <x:row r="133">
      <x:c r="A133" t="str">
        <x:v>DEM-0130</x:v>
      </x:c>
      <x:c r="B133" t="str">
        <x:v>2026-04-14</x:v>
      </x:c>
      <x:c r="C133" t="str">
        <x:v>2026-04</x:v>
      </x:c>
      <x:c r="D133" t="str">
        <x:v>Minorista</x:v>
      </x:c>
      <x:c r="E133" t="str">
        <x:v>Bogotá</x:v>
      </x:c>
      <x:c r="F133" t="str">
        <x:v>Portátiles</x:v>
      </x:c>
      <x:c r="G133" t="n">
        <x:v>8</x:v>
      </x:c>
      <x:c r="H133" s="20" t="n">
        <x:v>22800000</x:v>
      </x:c>
      <x:c r="I133" s="20" t="n">
        <x:v>17556000</x:v>
      </x:c>
      <x:c r="J133" s="20" t="n">
        <x:v>5244000</x:v>
      </x:c>
    </x:row>
    <x:row r="134">
      <x:c r="A134" t="str">
        <x:v>DEM-0131</x:v>
      </x:c>
      <x:c r="B134" t="str">
        <x:v>2026-05-07</x:v>
      </x:c>
      <x:c r="C134" t="str">
        <x:v>2026-05</x:v>
      </x:c>
      <x:c r="D134" t="str">
        <x:v>Minorista</x:v>
      </x:c>
      <x:c r="E134" t="str">
        <x:v>Bogotá</x:v>
      </x:c>
      <x:c r="F134" t="str">
        <x:v>Monitores</x:v>
      </x:c>
      <x:c r="G134" t="n">
        <x:v>4</x:v>
      </x:c>
      <x:c r="H134" s="20" t="n">
        <x:v>3459000</x:v>
      </x:c>
      <x:c r="I134" s="20" t="n">
        <x:v>2707000</x:v>
      </x:c>
      <x:c r="J134" s="20" t="n">
        <x:v>752000</x:v>
      </x:c>
    </x:row>
    <x:row r="135">
      <x:c r="A135" t="str">
        <x:v>DEM-0132</x:v>
      </x:c>
      <x:c r="B135" t="str">
        <x:v>2026-06-09</x:v>
      </x:c>
      <x:c r="C135" t="str">
        <x:v>2026-06</x:v>
      </x:c>
      <x:c r="D135" t="str">
        <x:v>Minorista</x:v>
      </x:c>
      <x:c r="E135" t="str">
        <x:v>Cali</x:v>
      </x:c>
      <x:c r="F135" t="str">
        <x:v>Portátiles</x:v>
      </x:c>
      <x:c r="G135" t="n">
        <x:v>2</x:v>
      </x:c>
      <x:c r="H135" s="20" t="n">
        <x:v>5985000</x:v>
      </x:c>
      <x:c r="I135" s="20" t="n">
        <x:v>4389000</x:v>
      </x:c>
      <x:c r="J135" s="20" t="n">
        <x:v>1596000</x:v>
      </x:c>
    </x:row>
    <x:row r="136">
      <x:c r="A136" t="str">
        <x:v>DEM-0133</x:v>
      </x:c>
      <x:c r="B136" t="str">
        <x:v>2026-07-02</x:v>
      </x:c>
      <x:c r="C136" t="str">
        <x:v>2026-07</x:v>
      </x:c>
      <x:c r="D136" t="str">
        <x:v>Minorista</x:v>
      </x:c>
      <x:c r="E136" t="str">
        <x:v>Cali</x:v>
      </x:c>
      <x:c r="F136" t="str">
        <x:v>Monitores</x:v>
      </x:c>
      <x:c r="G136" t="n">
        <x:v>5</x:v>
      </x:c>
      <x:c r="H136" s="20" t="n">
        <x:v>4465000</x:v>
      </x:c>
      <x:c r="I136" s="20" t="n">
        <x:v>3384000</x:v>
      </x:c>
      <x:c r="J136" s="20" t="n">
        <x:v>1081000</x:v>
      </x:c>
    </x:row>
    <x:row r="137">
      <x:c r="A137" t="str">
        <x:v>DEM-0134</x:v>
      </x:c>
      <x:c r="B137" t="str">
        <x:v>2026-08-12</x:v>
      </x:c>
      <x:c r="C137" t="str">
        <x:v>2026-08</x:v>
      </x:c>
      <x:c r="D137" t="str">
        <x:v>Empresas</x:v>
      </x:c>
      <x:c r="E137" t="str">
        <x:v>Barranquilla</x:v>
      </x:c>
      <x:c r="F137" t="str">
        <x:v>Impresoras</x:v>
      </x:c>
      <x:c r="G137" t="n">
        <x:v>1</x:v>
      </x:c>
      <x:c r="H137" s="20" t="n">
        <x:v>1350000</x:v>
      </x:c>
      <x:c r="I137" s="20" t="n">
        <x:v>925000</x:v>
      </x:c>
      <x:c r="J137" s="20" t="n">
        <x:v>425000</x:v>
      </x:c>
    </x:row>
    <x:row r="138">
      <x:c r="A138" t="str">
        <x:v>DEM-0135</x:v>
      </x:c>
      <x:c r="B138" t="str">
        <x:v>2026-09-04</x:v>
      </x:c>
      <x:c r="C138" t="str">
        <x:v>2026-09</x:v>
      </x:c>
      <x:c r="D138" t="str">
        <x:v>Empresas</x:v>
      </x:c>
      <x:c r="E138" t="str">
        <x:v>Bogotá</x:v>
      </x:c>
      <x:c r="F138" t="str">
        <x:v>Accesorios</x:v>
      </x:c>
      <x:c r="G138" t="n">
        <x:v>4</x:v>
      </x:c>
      <x:c r="H138" s="20" t="n">
        <x:v>880000</x:v>
      </x:c>
      <x:c r="I138" s="20" t="n">
        <x:v>572000</x:v>
      </x:c>
      <x:c r="J138" s="20" t="n">
        <x:v>308000</x:v>
      </x:c>
    </x:row>
    <x:row r="139">
      <x:c r="A139" t="str">
        <x:v>DEM-0136</x:v>
      </x:c>
      <x:c r="B139" t="str">
        <x:v>2026-01-22</x:v>
      </x:c>
      <x:c r="C139" t="str">
        <x:v>2026-01</x:v>
      </x:c>
      <x:c r="D139" t="str">
        <x:v>Empresas</x:v>
      </x:c>
      <x:c r="E139" t="str">
        <x:v>Barranquilla</x:v>
      </x:c>
      <x:c r="F139" t="str">
        <x:v>Monitores</x:v>
      </x:c>
      <x:c r="G139" t="n">
        <x:v>4</x:v>
      </x:c>
      <x:c r="H139" s="20" t="n">
        <x:v>3760000</x:v>
      </x:c>
      <x:c r="I139" s="20" t="n">
        <x:v>2707000</x:v>
      </x:c>
      <x:c r="J139" s="20" t="n">
        <x:v>1053000</x:v>
      </x:c>
    </x:row>
    <x:row r="140">
      <x:c r="A140" t="str">
        <x:v>DEM-0137</x:v>
      </x:c>
      <x:c r="B140" t="str">
        <x:v>2026-02-15</x:v>
      </x:c>
      <x:c r="C140" t="str">
        <x:v>2026-02</x:v>
      </x:c>
      <x:c r="D140" t="str">
        <x:v>Mayorista</x:v>
      </x:c>
      <x:c r="E140" t="str">
        <x:v>Barranquilla</x:v>
      </x:c>
      <x:c r="F140" t="str">
        <x:v>Portátiles</x:v>
      </x:c>
      <x:c r="G140" t="n">
        <x:v>16</x:v>
      </x:c>
      <x:c r="H140" s="20" t="n">
        <x:v>43320000</x:v>
      </x:c>
      <x:c r="I140" s="20" t="n">
        <x:v>35112000</x:v>
      </x:c>
      <x:c r="J140" s="20" t="n">
        <x:v>8208000</x:v>
      </x:c>
    </x:row>
    <x:row r="141">
      <x:c r="A141" t="str">
        <x:v>DEM-0138</x:v>
      </x:c>
      <x:c r="B141" t="str">
        <x:v>2026-03-21</x:v>
      </x:c>
      <x:c r="C141" t="str">
        <x:v>2026-03</x:v>
      </x:c>
      <x:c r="D141" t="str">
        <x:v>Minorista</x:v>
      </x:c>
      <x:c r="E141" t="str">
        <x:v>Medellín</x:v>
      </x:c>
      <x:c r="F141" t="str">
        <x:v>Accesorios</x:v>
      </x:c>
      <x:c r="G141" t="n">
        <x:v>5</x:v>
      </x:c>
      <x:c r="H141" s="20" t="n">
        <x:v>1012000</x:v>
      </x:c>
      <x:c r="I141" s="20" t="n">
        <x:v>715000</x:v>
      </x:c>
      <x:c r="J141" s="20" t="n">
        <x:v>297000</x:v>
      </x:c>
    </x:row>
    <x:row r="142">
      <x:c r="A142" t="str">
        <x:v>DEM-0139</x:v>
      </x:c>
      <x:c r="B142" t="str">
        <x:v>2026-04-11</x:v>
      </x:c>
      <x:c r="C142" t="str">
        <x:v>2026-04</x:v>
      </x:c>
      <x:c r="D142" t="str">
        <x:v>Minorista</x:v>
      </x:c>
      <x:c r="E142" t="str">
        <x:v>Bogotá</x:v>
      </x:c>
      <x:c r="F142" t="str">
        <x:v>Impresoras</x:v>
      </x:c>
      <x:c r="G142" t="n">
        <x:v>1</x:v>
      </x:c>
      <x:c r="H142" s="20" t="n">
        <x:v>1188000</x:v>
      </x:c>
      <x:c r="I142" s="20" t="n">
        <x:v>925000</x:v>
      </x:c>
      <x:c r="J142" s="20" t="n">
        <x:v>263000</x:v>
      </x:c>
    </x:row>
    <x:row r="143">
      <x:c r="A143" t="str">
        <x:v>DEM-0140</x:v>
      </x:c>
      <x:c r="B143" t="str">
        <x:v>2026-05-25</x:v>
      </x:c>
      <x:c r="C143" t="str">
        <x:v>2026-05</x:v>
      </x:c>
      <x:c r="D143" t="str">
        <x:v>Mayorista</x:v>
      </x:c>
      <x:c r="E143" t="str">
        <x:v>Bogotá</x:v>
      </x:c>
      <x:c r="F143" t="str">
        <x:v>Impresoras</x:v>
      </x:c>
      <x:c r="G143" t="n">
        <x:v>10</x:v>
      </x:c>
      <x:c r="H143" s="20" t="n">
        <x:v>11500000</x:v>
      </x:c>
      <x:c r="I143" s="20" t="n">
        <x:v>9250000</x:v>
      </x:c>
      <x:c r="J143" s="20" t="n">
        <x:v>2250000</x:v>
      </x:c>
    </x:row>
    <x:row r="144">
      <x:c r="A144" t="str">
        <x:v>DEM-0141</x:v>
      </x:c>
      <x:c r="B144" t="str">
        <x:v>2026-06-06</x:v>
      </x:c>
      <x:c r="C144" t="str">
        <x:v>2026-06</x:v>
      </x:c>
      <x:c r="D144" t="str">
        <x:v>Minorista</x:v>
      </x:c>
      <x:c r="E144" t="str">
        <x:v>Barranquilla</x:v>
      </x:c>
      <x:c r="F144" t="str">
        <x:v>Monitores</x:v>
      </x:c>
      <x:c r="G144" t="n">
        <x:v>6</x:v>
      </x:c>
      <x:c r="H144" s="20" t="n">
        <x:v>5640000</x:v>
      </x:c>
      <x:c r="I144" s="20" t="n">
        <x:v>4061000</x:v>
      </x:c>
      <x:c r="J144" s="20" t="n">
        <x:v>1579000</x:v>
      </x:c>
    </x:row>
    <x:row r="145">
      <x:c r="A145" t="str">
        <x:v>DEM-0142</x:v>
      </x:c>
      <x:c r="B145" t="str">
        <x:v>2026-07-05</x:v>
      </x:c>
      <x:c r="C145" t="str">
        <x:v>2026-07</x:v>
      </x:c>
      <x:c r="D145" t="str">
        <x:v>Empresas</x:v>
      </x:c>
      <x:c r="E145" t="str">
        <x:v>Bogotá</x:v>
      </x:c>
      <x:c r="F145" t="str">
        <x:v>Monitores</x:v>
      </x:c>
      <x:c r="G145" t="n">
        <x:v>8</x:v>
      </x:c>
      <x:c r="H145" s="20" t="n">
        <x:v>8122000</x:v>
      </x:c>
      <x:c r="I145" s="20" t="n">
        <x:v>5414000</x:v>
      </x:c>
      <x:c r="J145" s="20" t="n">
        <x:v>2708000</x:v>
      </x:c>
    </x:row>
    <x:row r="146">
      <x:c r="A146" t="str">
        <x:v>DEM-0143</x:v>
      </x:c>
      <x:c r="B146" t="str">
        <x:v>2026-08-04</x:v>
      </x:c>
      <x:c r="C146" t="str">
        <x:v>2026-08</x:v>
      </x:c>
      <x:c r="D146" t="str">
        <x:v>Minorista</x:v>
      </x:c>
      <x:c r="E146" t="str">
        <x:v>Medellín</x:v>
      </x:c>
      <x:c r="F146" t="str">
        <x:v>Impresoras</x:v>
      </x:c>
      <x:c r="G146" t="n">
        <x:v>5</x:v>
      </x:c>
      <x:c r="H146" s="20" t="n">
        <x:v>5938000</x:v>
      </x:c>
      <x:c r="I146" s="20" t="n">
        <x:v>4625000</x:v>
      </x:c>
      <x:c r="J146" s="20" t="n">
        <x:v>1313000</x:v>
      </x:c>
    </x:row>
    <x:row r="147">
      <x:c r="A147" t="str">
        <x:v>DEM-0144</x:v>
      </x:c>
      <x:c r="B147" t="str">
        <x:v>2026-09-09</x:v>
      </x:c>
      <x:c r="C147" t="str">
        <x:v>2026-09</x:v>
      </x:c>
      <x:c r="D147" t="str">
        <x:v>Minorista</x:v>
      </x:c>
      <x:c r="E147" t="str">
        <x:v>Medellín</x:v>
      </x:c>
      <x:c r="F147" t="str">
        <x:v>Impresoras</x:v>
      </x:c>
      <x:c r="G147" t="n">
        <x:v>6</x:v>
      </x:c>
      <x:c r="H147" s="20" t="n">
        <x:v>7875000</x:v>
      </x:c>
      <x:c r="I147" s="20" t="n">
        <x:v>5550000</x:v>
      </x:c>
      <x:c r="J147" s="20" t="n">
        <x:v>2325000</x:v>
      </x:c>
    </x:row>
    <x:row r="148">
      <x:c r="A148" t="str">
        <x:v>DEM-0145</x:v>
      </x:c>
      <x:c r="B148" t="str">
        <x:v>2026-01-11</x:v>
      </x:c>
      <x:c r="C148" t="str">
        <x:v>2026-01</x:v>
      </x:c>
      <x:c r="D148" t="str">
        <x:v>Empresas</x:v>
      </x:c>
      <x:c r="E148" t="str">
        <x:v>Barranquilla</x:v>
      </x:c>
      <x:c r="F148" t="str">
        <x:v>Portátiles</x:v>
      </x:c>
      <x:c r="G148" t="n">
        <x:v>4</x:v>
      </x:c>
      <x:c r="H148" s="20" t="n">
        <x:v>11970000</x:v>
      </x:c>
      <x:c r="I148" s="20" t="n">
        <x:v>8778000</x:v>
      </x:c>
      <x:c r="J148" s="20" t="n">
        <x:v>3192000</x:v>
      </x:c>
    </x:row>
    <x:row r="149">
      <x:c r="A149" t="str">
        <x:v>DEM-0146</x:v>
      </x:c>
      <x:c r="B149" t="str">
        <x:v>2026-02-19</x:v>
      </x:c>
      <x:c r="C149" t="str">
        <x:v>2026-02</x:v>
      </x:c>
      <x:c r="D149" t="str">
        <x:v>Empresas</x:v>
      </x:c>
      <x:c r="E149" t="str">
        <x:v>Barranquilla</x:v>
      </x:c>
      <x:c r="F149" t="str">
        <x:v>Monitores</x:v>
      </x:c>
      <x:c r="G149" t="n">
        <x:v>5</x:v>
      </x:c>
      <x:c r="H149" s="20" t="n">
        <x:v>4465000</x:v>
      </x:c>
      <x:c r="I149" s="20" t="n">
        <x:v>3384000</x:v>
      </x:c>
      <x:c r="J149" s="20" t="n">
        <x:v>1081000</x:v>
      </x:c>
    </x:row>
    <x:row r="150">
      <x:c r="A150" t="str">
        <x:v>DEM-0147</x:v>
      </x:c>
      <x:c r="B150" t="str">
        <x:v>2026-03-16</x:v>
      </x:c>
      <x:c r="C150" t="str">
        <x:v>2026-03</x:v>
      </x:c>
      <x:c r="D150" t="str">
        <x:v>Empresas</x:v>
      </x:c>
      <x:c r="E150" t="str">
        <x:v>Bogotá</x:v>
      </x:c>
      <x:c r="F150" t="str">
        <x:v>Accesorios</x:v>
      </x:c>
      <x:c r="G150" t="n">
        <x:v>7</x:v>
      </x:c>
      <x:c r="H150" s="20" t="n">
        <x:v>1540000</x:v>
      </x:c>
      <x:c r="I150" s="20" t="n">
        <x:v>1001000</x:v>
      </x:c>
      <x:c r="J150" s="20" t="n">
        <x:v>539000</x:v>
      </x:c>
    </x:row>
    <x:row r="151">
      <x:c r="A151" t="str">
        <x:v>DEM-0148</x:v>
      </x:c>
      <x:c r="B151" t="str">
        <x:v>2026-04-24</x:v>
      </x:c>
      <x:c r="C151" t="str">
        <x:v>2026-04</x:v>
      </x:c>
      <x:c r="D151" t="str">
        <x:v>Mayorista</x:v>
      </x:c>
      <x:c r="E151" t="str">
        <x:v>Barranquilla</x:v>
      </x:c>
      <x:c r="F151" t="str">
        <x:v>Monitores</x:v>
      </x:c>
      <x:c r="G151" t="n">
        <x:v>14</x:v>
      </x:c>
      <x:c r="H151" s="20" t="n">
        <x:v>12502000</x:v>
      </x:c>
      <x:c r="I151" s="20" t="n">
        <x:v>9475000</x:v>
      </x:c>
      <x:c r="J151" s="20" t="n">
        <x:v>3027000</x:v>
      </x:c>
    </x:row>
    <x:row r="152">
      <x:c r="A152" t="str">
        <x:v>DEM-0149</x:v>
      </x:c>
      <x:c r="B152" t="str">
        <x:v>2026-05-25</x:v>
      </x:c>
      <x:c r="C152" t="str">
        <x:v>2026-05</x:v>
      </x:c>
      <x:c r="D152" t="str">
        <x:v>Empresas</x:v>
      </x:c>
      <x:c r="E152" t="str">
        <x:v>Barranquilla</x:v>
      </x:c>
      <x:c r="F152" t="str">
        <x:v>Impresoras</x:v>
      </x:c>
      <x:c r="G152" t="n">
        <x:v>4</x:v>
      </x:c>
      <x:c r="H152" s="20" t="n">
        <x:v>4600000</x:v>
      </x:c>
      <x:c r="I152" s="20" t="n">
        <x:v>3700000</x:v>
      </x:c>
      <x:c r="J152" s="20" t="n">
        <x:v>900000</x:v>
      </x:c>
    </x:row>
    <x:row r="153">
      <x:c r="A153" t="str">
        <x:v>DEM-0150</x:v>
      </x:c>
      <x:c r="B153" t="str">
        <x:v>2026-06-23</x:v>
      </x:c>
      <x:c r="C153" t="str">
        <x:v>2026-06</x:v>
      </x:c>
      <x:c r="D153" t="str">
        <x:v>Empresas</x:v>
      </x:c>
      <x:c r="E153" t="str">
        <x:v>Barranquilla</x:v>
      </x:c>
      <x:c r="F153" t="str">
        <x:v>Impresoras</x:v>
      </x:c>
      <x:c r="G153" t="n">
        <x:v>3</x:v>
      </x:c>
      <x:c r="H153" s="20" t="n">
        <x:v>3562000</x:v>
      </x:c>
      <x:c r="I153" s="20" t="n">
        <x:v>2775000</x:v>
      </x:c>
      <x:c r="J153" s="20" t="n">
        <x:v>787000</x:v>
      </x:c>
    </x:row>
    <x:row r="154">
      <x:c r="A154" t="str">
        <x:v>DEM-0151</x:v>
      </x:c>
      <x:c r="B154" t="str">
        <x:v>2026-07-14</x:v>
      </x:c>
      <x:c r="C154" t="str">
        <x:v>2026-07</x:v>
      </x:c>
      <x:c r="D154" t="str">
        <x:v>Empresas</x:v>
      </x:c>
      <x:c r="E154" t="str">
        <x:v>Cali</x:v>
      </x:c>
      <x:c r="F154" t="str">
        <x:v>Accesorios</x:v>
      </x:c>
      <x:c r="G154" t="n">
        <x:v>4</x:v>
      </x:c>
      <x:c r="H154" s="20" t="n">
        <x:v>836000</x:v>
      </x:c>
      <x:c r="I154" s="20" t="n">
        <x:v>572000</x:v>
      </x:c>
      <x:c r="J154" s="20" t="n">
        <x:v>264000</x:v>
      </x:c>
    </x:row>
    <x:row r="155">
      <x:c r="A155" t="str">
        <x:v>DEM-0152</x:v>
      </x:c>
      <x:c r="B155" t="str">
        <x:v>2026-08-17</x:v>
      </x:c>
      <x:c r="C155" t="str">
        <x:v>2026-08</x:v>
      </x:c>
      <x:c r="D155" t="str">
        <x:v>Empresas</x:v>
      </x:c>
      <x:c r="E155" t="str">
        <x:v>Bogotá</x:v>
      </x:c>
      <x:c r="F155" t="str">
        <x:v>Accesorios</x:v>
      </x:c>
      <x:c r="G155" t="n">
        <x:v>2</x:v>
      </x:c>
      <x:c r="H155" s="20" t="n">
        <x:v>405000</x:v>
      </x:c>
      <x:c r="I155" s="20" t="n">
        <x:v>286000</x:v>
      </x:c>
      <x:c r="J155" s="20" t="n">
        <x:v>119000</x:v>
      </x:c>
    </x:row>
    <x:row r="156">
      <x:c r="A156" t="str">
        <x:v>DEM-0153</x:v>
      </x:c>
      <x:c r="B156" t="str">
        <x:v>2026-09-21</x:v>
      </x:c>
      <x:c r="C156" t="str">
        <x:v>2026-09</x:v>
      </x:c>
      <x:c r="D156" t="str">
        <x:v>Minorista</x:v>
      </x:c>
      <x:c r="E156" t="str">
        <x:v>Medellín</x:v>
      </x:c>
      <x:c r="F156" t="str">
        <x:v>Impresoras</x:v>
      </x:c>
      <x:c r="G156" t="n">
        <x:v>3</x:v>
      </x:c>
      <x:c r="H156" s="20" t="n">
        <x:v>3938000</x:v>
      </x:c>
      <x:c r="I156" s="20" t="n">
        <x:v>2775000</x:v>
      </x:c>
      <x:c r="J156" s="20" t="n">
        <x:v>1163000</x:v>
      </x:c>
    </x:row>
    <x:row r="157">
      <x:c r="A157" t="str">
        <x:v>DEM-0154</x:v>
      </x:c>
      <x:c r="B157" t="str">
        <x:v>2026-01-11</x:v>
      </x:c>
      <x:c r="C157" t="str">
        <x:v>2026-01</x:v>
      </x:c>
      <x:c r="D157" t="str">
        <x:v>Mayorista</x:v>
      </x:c>
      <x:c r="E157" t="str">
        <x:v>Barranquilla</x:v>
      </x:c>
      <x:c r="F157" t="str">
        <x:v>Impresoras</x:v>
      </x:c>
      <x:c r="G157" t="n">
        <x:v>6</x:v>
      </x:c>
      <x:c r="H157" s="20" t="n">
        <x:v>6900000</x:v>
      </x:c>
      <x:c r="I157" s="20" t="n">
        <x:v>5550000</x:v>
      </x:c>
      <x:c r="J157" s="20" t="n">
        <x:v>1350000</x:v>
      </x:c>
    </x:row>
    <x:row r="158">
      <x:c r="A158" t="str">
        <x:v>DEM-0155</x:v>
      </x:c>
      <x:c r="B158" t="str">
        <x:v>2026-02-17</x:v>
      </x:c>
      <x:c r="C158" t="str">
        <x:v>2026-02</x:v>
      </x:c>
      <x:c r="D158" t="str">
        <x:v>Empresas</x:v>
      </x:c>
      <x:c r="E158" t="str">
        <x:v>Cali</x:v>
      </x:c>
      <x:c r="F158" t="str">
        <x:v>Impresoras</x:v>
      </x:c>
      <x:c r="G158" t="n">
        <x:v>8</x:v>
      </x:c>
      <x:c r="H158" s="20" t="n">
        <x:v>10800000</x:v>
      </x:c>
      <x:c r="I158" s="20" t="n">
        <x:v>7400000</x:v>
      </x:c>
      <x:c r="J158" s="20" t="n">
        <x:v>3400000</x:v>
      </x:c>
    </x:row>
    <x:row r="159">
      <x:c r="A159" t="str">
        <x:v>DEM-0156</x:v>
      </x:c>
      <x:c r="B159" t="str">
        <x:v>2026-03-05</x:v>
      </x:c>
      <x:c r="C159" t="str">
        <x:v>2026-03</x:v>
      </x:c>
      <x:c r="D159" t="str">
        <x:v>Mayorista</x:v>
      </x:c>
      <x:c r="E159" t="str">
        <x:v>Medellín</x:v>
      </x:c>
      <x:c r="F159" t="str">
        <x:v>Monitores</x:v>
      </x:c>
      <x:c r="G159" t="n">
        <x:v>12</x:v>
      </x:c>
      <x:c r="H159" s="20" t="n">
        <x:v>10716000</x:v>
      </x:c>
      <x:c r="I159" s="20" t="n">
        <x:v>8122000</x:v>
      </x:c>
      <x:c r="J159" s="20" t="n">
        <x:v>2594000</x:v>
      </x:c>
    </x:row>
    <x:row r="160">
      <x:c r="A160" t="str">
        <x:v>DEM-0157</x:v>
      </x:c>
      <x:c r="B160" t="str">
        <x:v>2026-04-03</x:v>
      </x:c>
      <x:c r="C160" t="str">
        <x:v>2026-04</x:v>
      </x:c>
      <x:c r="D160" t="str">
        <x:v>Minorista</x:v>
      </x:c>
      <x:c r="E160" t="str">
        <x:v>Bogotá</x:v>
      </x:c>
      <x:c r="F160" t="str">
        <x:v>Accesorios</x:v>
      </x:c>
      <x:c r="G160" t="n">
        <x:v>6</x:v>
      </x:c>
      <x:c r="H160" s="20" t="n">
        <x:v>1254000</x:v>
      </x:c>
      <x:c r="I160" s="20" t="n">
        <x:v>858000</x:v>
      </x:c>
      <x:c r="J160" s="20" t="n">
        <x:v>396000</x:v>
      </x:c>
    </x:row>
    <x:row r="161">
      <x:c r="A161" t="str">
        <x:v>DEM-0158</x:v>
      </x:c>
      <x:c r="B161" t="str">
        <x:v>2026-05-12</x:v>
      </x:c>
      <x:c r="C161" t="str">
        <x:v>2026-05</x:v>
      </x:c>
      <x:c r="D161" t="str">
        <x:v>Empresas</x:v>
      </x:c>
      <x:c r="E161" t="str">
        <x:v>Barranquilla</x:v>
      </x:c>
      <x:c r="F161" t="str">
        <x:v>Monitores</x:v>
      </x:c>
      <x:c r="G161" t="n">
        <x:v>6</x:v>
      </x:c>
      <x:c r="H161" s="20" t="n">
        <x:v>6091000</x:v>
      </x:c>
      <x:c r="I161" s="20" t="n">
        <x:v>4061000</x:v>
      </x:c>
      <x:c r="J161" s="20" t="n">
        <x:v>2030000</x:v>
      </x:c>
    </x:row>
    <x:row r="162">
      <x:c r="A162" t="str">
        <x:v>DEM-0159</x:v>
      </x:c>
      <x:c r="B162" t="str">
        <x:v>2026-06-24</x:v>
      </x:c>
      <x:c r="C162" t="str">
        <x:v>2026-06</x:v>
      </x:c>
      <x:c r="D162" t="str">
        <x:v>Minorista</x:v>
      </x:c>
      <x:c r="E162" t="str">
        <x:v>Barranquilla</x:v>
      </x:c>
      <x:c r="F162" t="str">
        <x:v>Impresoras</x:v>
      </x:c>
      <x:c r="G162" t="n">
        <x:v>5</x:v>
      </x:c>
      <x:c r="H162" s="20" t="n">
        <x:v>5750000</x:v>
      </x:c>
      <x:c r="I162" s="20" t="n">
        <x:v>4625000</x:v>
      </x:c>
      <x:c r="J162" s="20" t="n">
        <x:v>1125000</x:v>
      </x:c>
    </x:row>
    <x:row r="163">
      <x:c r="A163" t="str">
        <x:v>DEM-0160</x:v>
      </x:c>
      <x:c r="B163" t="str">
        <x:v>2026-07-13</x:v>
      </x:c>
      <x:c r="C163" t="str">
        <x:v>2026-07</x:v>
      </x:c>
      <x:c r="D163" t="str">
        <x:v>Minorista</x:v>
      </x:c>
      <x:c r="E163" t="str">
        <x:v>Barranquilla</x:v>
      </x:c>
      <x:c r="F163" t="str">
        <x:v>Accesorios</x:v>
      </x:c>
      <x:c r="G163" t="n">
        <x:v>1</x:v>
      </x:c>
      <x:c r="H163" s="20" t="n">
        <x:v>220000</x:v>
      </x:c>
      <x:c r="I163" s="20" t="n">
        <x:v>143000</x:v>
      </x:c>
      <x:c r="J163" s="20" t="n">
        <x:v>77000</x:v>
      </x:c>
    </x:row>
    <x:row r="164">
      <x:c r="A164" t="str">
        <x:v>DEM-0161</x:v>
      </x:c>
      <x:c r="B164" t="str">
        <x:v>2026-08-02</x:v>
      </x:c>
      <x:c r="C164" t="str">
        <x:v>2026-08</x:v>
      </x:c>
      <x:c r="D164" t="str">
        <x:v>Minorista</x:v>
      </x:c>
      <x:c r="E164" t="str">
        <x:v>Barranquilla</x:v>
      </x:c>
      <x:c r="F164" t="str">
        <x:v>Portátiles</x:v>
      </x:c>
      <x:c r="G164" t="n">
        <x:v>6</x:v>
      </x:c>
      <x:c r="H164" s="20" t="n">
        <x:v>15732000</x:v>
      </x:c>
      <x:c r="I164" s="20" t="n">
        <x:v>13167000</x:v>
      </x:c>
      <x:c r="J164" s="20" t="n">
        <x:v>2565000</x:v>
      </x:c>
    </x:row>
    <x:row r="165">
      <x:c r="A165" t="str">
        <x:v>DEM-0162</x:v>
      </x:c>
      <x:c r="B165" t="str">
        <x:v>2026-09-20</x:v>
      </x:c>
      <x:c r="C165" t="str">
        <x:v>2026-09</x:v>
      </x:c>
      <x:c r="D165" t="str">
        <x:v>Mayorista</x:v>
      </x:c>
      <x:c r="E165" t="str">
        <x:v>Cali</x:v>
      </x:c>
      <x:c r="F165" t="str">
        <x:v>Impresoras</x:v>
      </x:c>
      <x:c r="G165" t="n">
        <x:v>14</x:v>
      </x:c>
      <x:c r="H165" s="20" t="n">
        <x:v>16100000</x:v>
      </x:c>
      <x:c r="I165" s="20" t="n">
        <x:v>12950000</x:v>
      </x:c>
      <x:c r="J165" s="20" t="n">
        <x:v>3150000</x:v>
      </x:c>
    </x:row>
    <x:row r="166">
      <x:c r="A166" t="str">
        <x:v>DEM-0163</x:v>
      </x:c>
      <x:c r="B166" t="str">
        <x:v>2026-01-09</x:v>
      </x:c>
      <x:c r="C166" t="str">
        <x:v>2026-01</x:v>
      </x:c>
      <x:c r="D166" t="str">
        <x:v>Mayorista</x:v>
      </x:c>
      <x:c r="E166" t="str">
        <x:v>Cali</x:v>
      </x:c>
      <x:c r="F166" t="str">
        <x:v>Monitores</x:v>
      </x:c>
      <x:c r="G166" t="n">
        <x:v>4</x:v>
      </x:c>
      <x:c r="H166" s="20" t="n">
        <x:v>3760000</x:v>
      </x:c>
      <x:c r="I166" s="20" t="n">
        <x:v>2707000</x:v>
      </x:c>
      <x:c r="J166" s="20" t="n">
        <x:v>1053000</x:v>
      </x:c>
    </x:row>
    <x:row r="167">
      <x:c r="A167" t="str">
        <x:v>DEM-0164</x:v>
      </x:c>
      <x:c r="B167" t="str">
        <x:v>2026-02-12</x:v>
      </x:c>
      <x:c r="C167" t="str">
        <x:v>2026-02</x:v>
      </x:c>
      <x:c r="D167" t="str">
        <x:v>Mayorista</x:v>
      </x:c>
      <x:c r="E167" t="str">
        <x:v>Cali</x:v>
      </x:c>
      <x:c r="F167" t="str">
        <x:v>Portátiles</x:v>
      </x:c>
      <x:c r="G167" t="n">
        <x:v>4</x:v>
      </x:c>
      <x:c r="H167" s="20" t="n">
        <x:v>12312000</x:v>
      </x:c>
      <x:c r="I167" s="20" t="n">
        <x:v>8778000</x:v>
      </x:c>
      <x:c r="J167" s="20" t="n">
        <x:v>3534000</x:v>
      </x:c>
    </x:row>
    <x:row r="168">
      <x:c r="A168" t="str">
        <x:v>DEM-0165</x:v>
      </x:c>
      <x:c r="B168" t="str">
        <x:v>2026-03-06</x:v>
      </x:c>
      <x:c r="C168" t="str">
        <x:v>2026-03</x:v>
      </x:c>
      <x:c r="D168" t="str">
        <x:v>Mayorista</x:v>
      </x:c>
      <x:c r="E168" t="str">
        <x:v>Bogotá</x:v>
      </x:c>
      <x:c r="F168" t="str">
        <x:v>Accesorios</x:v>
      </x:c>
      <x:c r="G168" t="n">
        <x:v>12</x:v>
      </x:c>
      <x:c r="H168" s="20" t="n">
        <x:v>2772000</x:v>
      </x:c>
      <x:c r="I168" s="20" t="n">
        <x:v>1716000</x:v>
      </x:c>
      <x:c r="J168" s="20" t="n">
        <x:v>1056000</x:v>
      </x:c>
    </x:row>
    <x:row r="169">
      <x:c r="A169" t="str">
        <x:v>DEM-0166</x:v>
      </x:c>
      <x:c r="B169" t="str">
        <x:v>2026-04-11</x:v>
      </x:c>
      <x:c r="C169" t="str">
        <x:v>2026-04</x:v>
      </x:c>
      <x:c r="D169" t="str">
        <x:v>Empresas</x:v>
      </x:c>
      <x:c r="E169" t="str">
        <x:v>Medellín</x:v>
      </x:c>
      <x:c r="F169" t="str">
        <x:v>Accesorios</x:v>
      </x:c>
      <x:c r="G169" t="n">
        <x:v>6</x:v>
      </x:c>
      <x:c r="H169" s="20" t="n">
        <x:v>1426000</x:v>
      </x:c>
      <x:c r="I169" s="20" t="n">
        <x:v>858000</x:v>
      </x:c>
      <x:c r="J169" s="20" t="n">
        <x:v>568000</x:v>
      </x:c>
    </x:row>
    <x:row r="170">
      <x:c r="A170" t="str">
        <x:v>DEM-0167</x:v>
      </x:c>
      <x:c r="B170" t="str">
        <x:v>2026-05-11</x:v>
      </x:c>
      <x:c r="C170" t="str">
        <x:v>2026-05</x:v>
      </x:c>
      <x:c r="D170" t="str">
        <x:v>Mayorista</x:v>
      </x:c>
      <x:c r="E170" t="str">
        <x:v>Barranquilla</x:v>
      </x:c>
      <x:c r="F170" t="str">
        <x:v>Impresoras</x:v>
      </x:c>
      <x:c r="G170" t="n">
        <x:v>6</x:v>
      </x:c>
      <x:c r="H170" s="20" t="n">
        <x:v>8100000</x:v>
      </x:c>
      <x:c r="I170" s="20" t="n">
        <x:v>5550000</x:v>
      </x:c>
      <x:c r="J170" s="20" t="n">
        <x:v>2550000</x:v>
      </x:c>
    </x:row>
    <x:row r="171">
      <x:c r="A171" t="str">
        <x:v>DEM-0168</x:v>
      </x:c>
      <x:c r="B171" t="str">
        <x:v>2026-06-22</x:v>
      </x:c>
      <x:c r="C171" t="str">
        <x:v>2026-06</x:v>
      </x:c>
      <x:c r="D171" t="str">
        <x:v>Mayorista</x:v>
      </x:c>
      <x:c r="E171" t="str">
        <x:v>Barranquilla</x:v>
      </x:c>
      <x:c r="F171" t="str">
        <x:v>Monitores</x:v>
      </x:c>
      <x:c r="G171" t="n">
        <x:v>10</x:v>
      </x:c>
      <x:c r="H171" s="20" t="n">
        <x:v>9400000</x:v>
      </x:c>
      <x:c r="I171" s="20" t="n">
        <x:v>6768000</x:v>
      </x:c>
      <x:c r="J171" s="20" t="n">
        <x:v>2632000</x:v>
      </x:c>
    </x:row>
    <x:row r="172">
      <x:c r="A172" t="str">
        <x:v>DEM-0169</x:v>
      </x:c>
      <x:c r="B172" t="str">
        <x:v>2026-07-25</x:v>
      </x:c>
      <x:c r="C172" t="str">
        <x:v>2026-07</x:v>
      </x:c>
      <x:c r="D172" t="str">
        <x:v>Mayorista</x:v>
      </x:c>
      <x:c r="E172" t="str">
        <x:v>Barranquilla</x:v>
      </x:c>
      <x:c r="F172" t="str">
        <x:v>Monitores</x:v>
      </x:c>
      <x:c r="G172" t="n">
        <x:v>10</x:v>
      </x:c>
      <x:c r="H172" s="20" t="n">
        <x:v>8648000</x:v>
      </x:c>
      <x:c r="I172" s="20" t="n">
        <x:v>6768000</x:v>
      </x:c>
      <x:c r="J172" s="20" t="n">
        <x:v>1880000</x:v>
      </x:c>
    </x:row>
    <x:row r="173">
      <x:c r="A173" t="str">
        <x:v>DEM-0170</x:v>
      </x:c>
      <x:c r="B173" t="str">
        <x:v>2026-08-04</x:v>
      </x:c>
      <x:c r="C173" t="str">
        <x:v>2026-08</x:v>
      </x:c>
      <x:c r="D173" t="str">
        <x:v>Mayorista</x:v>
      </x:c>
      <x:c r="E173" t="str">
        <x:v>Barranquilla</x:v>
      </x:c>
      <x:c r="F173" t="str">
        <x:v>Monitores</x:v>
      </x:c>
      <x:c r="G173" t="n">
        <x:v>6</x:v>
      </x:c>
      <x:c r="H173" s="20" t="n">
        <x:v>6091000</x:v>
      </x:c>
      <x:c r="I173" s="20" t="n">
        <x:v>4061000</x:v>
      </x:c>
      <x:c r="J173" s="20" t="n">
        <x:v>2030000</x:v>
      </x:c>
    </x:row>
    <x:row r="174">
      <x:c r="A174" t="str">
        <x:v>DEM-0171</x:v>
      </x:c>
      <x:c r="B174" t="str">
        <x:v>2026-09-11</x:v>
      </x:c>
      <x:c r="C174" t="str">
        <x:v>2026-09</x:v>
      </x:c>
      <x:c r="D174" t="str">
        <x:v>Empresas</x:v>
      </x:c>
      <x:c r="E174" t="str">
        <x:v>Medellín</x:v>
      </x:c>
      <x:c r="F174" t="str">
        <x:v>Monitores</x:v>
      </x:c>
      <x:c r="G174" t="n">
        <x:v>2</x:v>
      </x:c>
      <x:c r="H174" s="20" t="n">
        <x:v>1880000</x:v>
      </x:c>
      <x:c r="I174" s="20" t="n">
        <x:v>1354000</x:v>
      </x:c>
      <x:c r="J174" s="20" t="n">
        <x:v>526000</x:v>
      </x:c>
    </x:row>
    <x:row r="175">
      <x:c r="A175" t="str">
        <x:v>DEM-0172</x:v>
      </x:c>
      <x:c r="B175" t="str">
        <x:v>2026-01-10</x:v>
      </x:c>
      <x:c r="C175" t="str">
        <x:v>2026-01</x:v>
      </x:c>
      <x:c r="D175" t="str">
        <x:v>Minorista</x:v>
      </x:c>
      <x:c r="E175" t="str">
        <x:v>Cali</x:v>
      </x:c>
      <x:c r="F175" t="str">
        <x:v>Impresoras</x:v>
      </x:c>
      <x:c r="G175" t="n">
        <x:v>7</x:v>
      </x:c>
      <x:c r="H175" s="20" t="n">
        <x:v>8750000</x:v>
      </x:c>
      <x:c r="I175" s="20" t="n">
        <x:v>6475000</x:v>
      </x:c>
      <x:c r="J175" s="20" t="n">
        <x:v>2275000</x:v>
      </x:c>
    </x:row>
    <x:row r="176">
      <x:c r="A176" t="str">
        <x:v>DEM-0173</x:v>
      </x:c>
      <x:c r="B176" t="str">
        <x:v>2026-02-22</x:v>
      </x:c>
      <x:c r="C176" t="str">
        <x:v>2026-02</x:v>
      </x:c>
      <x:c r="D176" t="str">
        <x:v>Empresas</x:v>
      </x:c>
      <x:c r="E176" t="str">
        <x:v>Medellín</x:v>
      </x:c>
      <x:c r="F176" t="str">
        <x:v>Accesorios</x:v>
      </x:c>
      <x:c r="G176" t="n">
        <x:v>3</x:v>
      </x:c>
      <x:c r="H176" s="20" t="n">
        <x:v>627000</x:v>
      </x:c>
      <x:c r="I176" s="20" t="n">
        <x:v>429000</x:v>
      </x:c>
      <x:c r="J176" s="20" t="n">
        <x:v>198000</x:v>
      </x:c>
    </x:row>
    <x:row r="177">
      <x:c r="A177" t="str">
        <x:v>DEM-0174</x:v>
      </x:c>
      <x:c r="B177" t="str">
        <x:v>2026-03-25</x:v>
      </x:c>
      <x:c r="C177" t="str">
        <x:v>2026-03</x:v>
      </x:c>
      <x:c r="D177" t="str">
        <x:v>Mayorista</x:v>
      </x:c>
      <x:c r="E177" t="str">
        <x:v>Bogotá</x:v>
      </x:c>
      <x:c r="F177" t="str">
        <x:v>Portátiles</x:v>
      </x:c>
      <x:c r="G177" t="n">
        <x:v>2</x:v>
      </x:c>
      <x:c r="H177" s="20" t="n">
        <x:v>5985000</x:v>
      </x:c>
      <x:c r="I177" s="20" t="n">
        <x:v>4389000</x:v>
      </x:c>
      <x:c r="J177" s="20" t="n">
        <x:v>1596000</x:v>
      </x:c>
    </x:row>
    <x:row r="178">
      <x:c r="A178" t="str">
        <x:v>DEM-0175</x:v>
      </x:c>
      <x:c r="B178" t="str">
        <x:v>2026-04-13</x:v>
      </x:c>
      <x:c r="C178" t="str">
        <x:v>2026-04</x:v>
      </x:c>
      <x:c r="D178" t="str">
        <x:v>Mayorista</x:v>
      </x:c>
      <x:c r="E178" t="str">
        <x:v>Medellín</x:v>
      </x:c>
      <x:c r="F178" t="str">
        <x:v>Portátiles</x:v>
      </x:c>
      <x:c r="G178" t="n">
        <x:v>2</x:v>
      </x:c>
      <x:c r="H178" s="20" t="n">
        <x:v>5985000</x:v>
      </x:c>
      <x:c r="I178" s="20" t="n">
        <x:v>4389000</x:v>
      </x:c>
      <x:c r="J178" s="20" t="n">
        <x:v>1596000</x:v>
      </x:c>
    </x:row>
    <x:row r="179">
      <x:c r="A179" t="str">
        <x:v>DEM-0176</x:v>
      </x:c>
      <x:c r="B179" t="str">
        <x:v>2026-05-20</x:v>
      </x:c>
      <x:c r="C179" t="str">
        <x:v>2026-05</x:v>
      </x:c>
      <x:c r="D179" t="str">
        <x:v>Minorista</x:v>
      </x:c>
      <x:c r="E179" t="str">
        <x:v>Bogotá</x:v>
      </x:c>
      <x:c r="F179" t="str">
        <x:v>Impresoras</x:v>
      </x:c>
      <x:c r="G179" t="n">
        <x:v>8</x:v>
      </x:c>
      <x:c r="H179" s="20" t="n">
        <x:v>10800000</x:v>
      </x:c>
      <x:c r="I179" s="20" t="n">
        <x:v>7400000</x:v>
      </x:c>
      <x:c r="J179" s="20" t="n">
        <x:v>3400000</x:v>
      </x:c>
    </x:row>
    <x:row r="180">
      <x:c r="A180" t="str">
        <x:v>DEM-0177</x:v>
      </x:c>
      <x:c r="B180" t="str">
        <x:v>2026-06-05</x:v>
      </x:c>
      <x:c r="C180" t="str">
        <x:v>2026-06</x:v>
      </x:c>
      <x:c r="D180" t="str">
        <x:v>Empresas</x:v>
      </x:c>
      <x:c r="E180" t="str">
        <x:v>Barranquilla</x:v>
      </x:c>
      <x:c r="F180" t="str">
        <x:v>Monitores</x:v>
      </x:c>
      <x:c r="G180" t="n">
        <x:v>3</x:v>
      </x:c>
      <x:c r="H180" s="20" t="n">
        <x:v>3046000</x:v>
      </x:c>
      <x:c r="I180" s="20" t="n">
        <x:v>2030000</x:v>
      </x:c>
      <x:c r="J180" s="20" t="n">
        <x:v>1016000</x:v>
      </x:c>
    </x:row>
    <x:row r="181">
      <x:c r="A181" t="str">
        <x:v>DEM-0178</x:v>
      </x:c>
      <x:c r="B181" t="str">
        <x:v>2026-07-07</x:v>
      </x:c>
      <x:c r="C181" t="str">
        <x:v>2026-07</x:v>
      </x:c>
      <x:c r="D181" t="str">
        <x:v>Minorista</x:v>
      </x:c>
      <x:c r="E181" t="str">
        <x:v>Bogotá</x:v>
      </x:c>
      <x:c r="F181" t="str">
        <x:v>Monitores</x:v>
      </x:c>
      <x:c r="G181" t="n">
        <x:v>1</x:v>
      </x:c>
      <x:c r="H181" s="20" t="n">
        <x:v>987000</x:v>
      </x:c>
      <x:c r="I181" s="20" t="n">
        <x:v>677000</x:v>
      </x:c>
      <x:c r="J181" s="20" t="n">
        <x:v>310000</x:v>
      </x:c>
    </x:row>
    <x:row r="182">
      <x:c r="A182" t="str">
        <x:v>DEM-0179</x:v>
      </x:c>
      <x:c r="B182" t="str">
        <x:v>2026-08-04</x:v>
      </x:c>
      <x:c r="C182" t="str">
        <x:v>2026-08</x:v>
      </x:c>
      <x:c r="D182" t="str">
        <x:v>Mayorista</x:v>
      </x:c>
      <x:c r="E182" t="str">
        <x:v>Medellín</x:v>
      </x:c>
      <x:c r="F182" t="str">
        <x:v>Monitores</x:v>
      </x:c>
      <x:c r="G182" t="n">
        <x:v>4</x:v>
      </x:c>
      <x:c r="H182" s="20" t="n">
        <x:v>3760000</x:v>
      </x:c>
      <x:c r="I182" s="20" t="n">
        <x:v>2707000</x:v>
      </x:c>
      <x:c r="J182" s="20" t="n">
        <x:v>1053000</x:v>
      </x:c>
    </x:row>
    <x:row r="183">
      <x:c r="A183" t="str">
        <x:v>DEM-0180</x:v>
      </x:c>
      <x:c r="B183" t="str">
        <x:v>2026-09-02</x:v>
      </x:c>
      <x:c r="C183" t="str">
        <x:v>2026-09</x:v>
      </x:c>
      <x:c r="D183" t="str">
        <x:v>Mayorista</x:v>
      </x:c>
      <x:c r="E183" t="str">
        <x:v>Bogotá</x:v>
      </x:c>
      <x:c r="F183" t="str">
        <x:v>Portátiles</x:v>
      </x:c>
      <x:c r="G183" t="n">
        <x:v>10</x:v>
      </x:c>
      <x:c r="H183" s="20" t="n">
        <x:v>27075000</x:v>
      </x:c>
      <x:c r="I183" s="20" t="n">
        <x:v>21945000</x:v>
      </x:c>
      <x:c r="J183" s="20" t="n">
        <x:v>5130000</x:v>
      </x:c>
    </x:row>
  </x:sheetData>
  <x:mergeCells>
    <x:mergeCell ref="A1:J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6" hidden="0" customWidth="1"/>
    <x:col min="3" max="3" width="19" hidden="0" customWidth="1"/>
    <x:col min="4" max="4" width="19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36" customHeight="1">
      <x:c r="A1" s="4" t="str">
        <x:v>Panel de control del proyecto</x:v>
      </x:c>
      <x:c r="B1" s="4" t="str">
        <x:v>Panel de control del proyecto</x:v>
      </x:c>
      <x:c r="C1" s="4" t="str">
        <x:v>Panel de control del proyecto</x:v>
      </x:c>
      <x:c r="D1" s="4" t="str">
        <x:v>Panel de control del proyecto</x:v>
      </x:c>
      <x:c r="E1" s="4" t="str">
        <x:v>Panel de control del proyecto</x:v>
      </x:c>
      <x:c r="F1" s="4" t="str">
        <x:v>Panel de control del proyecto</x:v>
      </x:c>
      <x:c r="G1" s="4" t="str">
        <x:v>Panel de control del proyecto</x:v>
      </x:c>
      <x:c r="H1" s="4" t="str">
        <x:v>Panel de control del proyecto</x:v>
      </x:c>
    </x:row>
    <x:row r="2" ht="20" customHeight="1">
      <x:c r="A2" s="9" t="str">
        <x:v>SIGECO BI · Proyecto aplicado I · Daniel Stiven Cortes Pedreros · ESEIT</x:v>
      </x:c>
      <x:c r="B2" s="9"/>
      <x:c r="C2" s="9"/>
      <x:c r="D2" s="9"/>
      <x:c r="E2" s="9"/>
      <x:c r="F2" s="9"/>
      <x:c r="G2" s="9"/>
      <x:c r="H2" s="9"/>
    </x:row>
    <x:row r="4" ht="27" customHeight="1">
      <x:c r="A4" s="15" t="str">
        <x:v>Indicador</x:v>
      </x:c>
      <x:c r="B4" s="15" t="str">
        <x:v>Resultado</x:v>
      </x:c>
    </x:row>
    <x:row r="5">
      <x:c r="A5" t="str">
        <x:v>Actividades planificadas</x:v>
      </x:c>
      <x:c r="B5" t="n">
        <x:v>12</x:v>
      </x:c>
    </x:row>
    <x:row r="6">
      <x:c r="A6" t="str">
        <x:v>Horas de proyecto</x:v>
      </x:c>
      <x:c r="B6" t="n">
        <x:f>SUM(Presupuesto!C4:C15)</x:f>
        <x:v>72</x:v>
      </x:c>
    </x:row>
    <x:row r="7">
      <x:c r="A7" t="str">
        <x:v>Presupuesto total</x:v>
      </x:c>
      <x:c r="B7" s="20" t="n">
        <x:f>Presupuesto!E18</x:f>
        <x:v>1980000</x:v>
      </x:c>
    </x:row>
    <x:row r="8">
      <x:c r="A8" t="str">
        <x:v>Riesgos identificados</x:v>
      </x:c>
      <x:c r="B8" t="n">
        <x:v>8</x:v>
      </x:c>
    </x:row>
    <x:row r="9">
      <x:c r="A9" t="str">
        <x:v>Beneficio mensual neto simulado</x:v>
      </x:c>
      <x:c r="B9" s="20" t="n">
        <x:f>ROI!B12</x:f>
        <x:v>180000</x:v>
      </x:c>
    </x:row>
    <x:row r="10">
      <x:c r="A10" t="str">
        <x:v>ROI 12 meses</x:v>
      </x:c>
      <x:c r="B10" s="58" t="n">
        <x:f>ROI!B14</x:f>
        <x:v>0.09090909090909091</x:v>
      </x:c>
    </x:row>
    <x:row r="11">
      <x:c r="A11" t="str">
        <x:v>Registros de demostración</x:v>
      </x:c>
      <x:c r="B11" t="n">
        <x:v>180</x:v>
      </x:c>
    </x:row>
    <x:row r="14" ht="27" customHeight="1">
      <x:c r="A14" s="15" t="str">
        <x:v>Fase</x:v>
      </x:c>
      <x:c r="B14" s="15" t="str">
        <x:v>Horas</x:v>
      </x:c>
    </x:row>
    <x:row r="15">
      <x:c r="A15" t="str">
        <x:v>Planeación</x:v>
      </x:c>
      <x:c r="B15" t="n">
        <x:v>22</x:v>
      </x:c>
    </x:row>
    <x:row r="16">
      <x:c r="A16" t="str">
        <x:v>Ejecución</x:v>
      </x:c>
      <x:c r="B16" t="n">
        <x:v>43</x:v>
      </x:c>
    </x:row>
    <x:row r="17">
      <x:c r="A17" t="str">
        <x:v>Cierre</x:v>
      </x:c>
      <x:c r="B17" t="n">
        <x:v>7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52eac95905ee40f6"/>
</x:worksheet>
</file>